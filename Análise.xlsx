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0223a0c93a923c/Desktop/Projetos/Projetos para evoluir/Interconnected/Banco_Master/"/>
    </mc:Choice>
  </mc:AlternateContent>
  <xr:revisionPtr revIDLastSave="100" documentId="11_F25DC773A252ABDACC1048AAD1DA7ECA5ADE58F5" xr6:coauthVersionLast="47" xr6:coauthVersionMax="47" xr10:uidLastSave="{ADA444FB-9520-4599-B184-A2220FB0907B}"/>
  <bookViews>
    <workbookView xWindow="-120" yWindow="-120" windowWidth="29040" windowHeight="15720" xr2:uid="{00000000-000D-0000-FFFF-FFFF00000000}"/>
  </bookViews>
  <sheets>
    <sheet name="df_gold" sheetId="5" r:id="rId1"/>
  </sheets>
  <definedNames>
    <definedName name="DadosExternos_2" localSheetId="0" hidden="1">df_gold!$A$1:$BP$18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" i="5" l="1"/>
  <c r="BV4" i="5"/>
  <c r="BV5" i="5"/>
  <c r="BV6" i="5"/>
  <c r="BV7" i="5"/>
  <c r="BV8" i="5"/>
  <c r="BV9" i="5"/>
  <c r="BV10" i="5"/>
  <c r="BV11" i="5"/>
  <c r="BV12" i="5"/>
  <c r="BV13" i="5"/>
  <c r="BV14" i="5"/>
  <c r="BV15" i="5"/>
  <c r="BV16" i="5"/>
  <c r="BV17" i="5"/>
  <c r="BV18" i="5"/>
  <c r="BU2" i="5"/>
  <c r="BU3" i="5"/>
  <c r="BU4" i="5"/>
  <c r="BU5" i="5"/>
  <c r="BU6" i="5"/>
  <c r="BU7" i="5"/>
  <c r="BU8" i="5"/>
  <c r="BU9" i="5"/>
  <c r="BU10" i="5"/>
  <c r="BU11" i="5"/>
  <c r="BU12" i="5"/>
  <c r="BU13" i="5"/>
  <c r="BU14" i="5"/>
  <c r="BU15" i="5"/>
  <c r="BU16" i="5"/>
  <c r="BU17" i="5"/>
  <c r="BU18" i="5"/>
  <c r="BQ2" i="5"/>
  <c r="BQ3" i="5"/>
  <c r="BQ4" i="5"/>
  <c r="BQ5" i="5"/>
  <c r="BQ6" i="5"/>
  <c r="BQ7" i="5"/>
  <c r="BQ8" i="5"/>
  <c r="BQ9" i="5"/>
  <c r="BQ10" i="5"/>
  <c r="BQ11" i="5"/>
  <c r="BQ12" i="5"/>
  <c r="BQ13" i="5"/>
  <c r="BQ14" i="5"/>
  <c r="BQ15" i="5"/>
  <c r="BS15" i="5" s="1"/>
  <c r="BT15" i="5" s="1"/>
  <c r="BQ16" i="5"/>
  <c r="BQ17" i="5"/>
  <c r="BQ18" i="5"/>
  <c r="BS3" i="5"/>
  <c r="BT3" i="5" s="1"/>
  <c r="BR2" i="5"/>
  <c r="BS2" i="5" s="1"/>
  <c r="BT2" i="5" s="1"/>
  <c r="BR3" i="5"/>
  <c r="BR4" i="5"/>
  <c r="BS4" i="5" s="1"/>
  <c r="BT4" i="5" s="1"/>
  <c r="BR5" i="5"/>
  <c r="BR6" i="5"/>
  <c r="BS6" i="5" s="1"/>
  <c r="BT6" i="5" s="1"/>
  <c r="BR7" i="5"/>
  <c r="BR8" i="5"/>
  <c r="BS8" i="5" s="1"/>
  <c r="BT8" i="5" s="1"/>
  <c r="BR9" i="5"/>
  <c r="BR10" i="5"/>
  <c r="BS10" i="5" s="1"/>
  <c r="BT10" i="5" s="1"/>
  <c r="BR11" i="5"/>
  <c r="BR12" i="5"/>
  <c r="BR13" i="5"/>
  <c r="BR14" i="5"/>
  <c r="BS14" i="5" s="1"/>
  <c r="BT14" i="5" s="1"/>
  <c r="BR15" i="5"/>
  <c r="BR16" i="5"/>
  <c r="BR17" i="5"/>
  <c r="BR18" i="5"/>
  <c r="BS18" i="5" s="1"/>
  <c r="BT18" i="5" s="1"/>
  <c r="BS11" i="5" l="1"/>
  <c r="BT11" i="5" s="1"/>
  <c r="BS7" i="5"/>
  <c r="BT7" i="5" s="1"/>
  <c r="BS13" i="5"/>
  <c r="BT13" i="5" s="1"/>
  <c r="BS5" i="5"/>
  <c r="BT5" i="5" s="1"/>
  <c r="BS16" i="5"/>
  <c r="BT16" i="5" s="1"/>
  <c r="BS12" i="5"/>
  <c r="BT12" i="5" s="1"/>
  <c r="BS17" i="5"/>
  <c r="BT17" i="5" s="1"/>
  <c r="BS9" i="5"/>
  <c r="BT9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59B4F3-A15C-4148-83C7-D6FA606AC4D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07F47C6A-73F0-489C-AAF0-4BCA5E347B61}" keepAlive="1" name="Consulta - df_gold" description="Conexão com a consulta 'df_gold' na pasta de trabalho." type="5" refreshedVersion="8" background="1" saveData="1">
    <dbPr connection="Provider=Microsoft.Mashup.OleDb.1;Data Source=$Workbook$;Location=df_gold;Extended Properties=&quot;&quot;" command="SELECT * FROM [df_gold]"/>
  </connection>
  <connection id="3" xr16:uid="{EA055250-5B40-43B6-871A-10F4F51C996F}" keepAlive="1" name="Consulta - dre_bacen" description="Conexão com a consulta 'dre_bacen' na pasta de trabalho." type="5" refreshedVersion="8" background="1" saveData="1">
    <dbPr connection="Provider=Microsoft.Mashup.OleDb.1;Data Source=$Workbook$;Location=dre_bacen;Extended Properties=&quot;&quot;" command="SELECT * FROM [dre_bacen]"/>
  </connection>
  <connection id="4" xr16:uid="{417FC802-DFED-4EFB-8A84-35A7A474B217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5" xr16:uid="{BBEFDCCB-0602-4FCA-93D8-F7EB7C3F9A3F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6" xr16:uid="{EF415FB9-FDE3-4065-9715-D82B85D118E6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<sst xmlns="http://schemas.openxmlformats.org/spreadsheetml/2006/main" count="193" uniqueCount="80">
  <si>
    <t>Column1</t>
  </si>
  <si>
    <t>Conglomerado Financeiro</t>
  </si>
  <si>
    <t>Resultado Operacional (e) = (c) + (d)</t>
  </si>
  <si>
    <t>Resultado Não Operacional (f)</t>
  </si>
  <si>
    <t>Resultado antes da Tributação, Lucro e Participação (g) = (e) + (f)</t>
  </si>
  <si>
    <t>Imposto de Renda e Contribuição Social (h)</t>
  </si>
  <si>
    <t>Participação nos Lucros (i)</t>
  </si>
  <si>
    <t>Lucro Líquido (j) = (g) + (h) + (i)</t>
  </si>
  <si>
    <t>Resultado de Intermediação Financeira (c) = (a) + (b)</t>
  </si>
  <si>
    <t>Rendas de Prestação de Serviços (d1)</t>
  </si>
  <si>
    <t>Rendas de Tarifas Bancárias (d2)</t>
  </si>
  <si>
    <t>Despesas de Pessoal (d3)</t>
  </si>
  <si>
    <t>Despesas Administrativas (d4)</t>
  </si>
  <si>
    <t>Despesas Tributárias (d5)</t>
  </si>
  <si>
    <t>Resultado de Participações (d6)</t>
  </si>
  <si>
    <t>Outras Receitas Operacionais (d7)</t>
  </si>
  <si>
    <t>Outras Despesas Operacionais (d8)</t>
  </si>
  <si>
    <t>Outras Receitas/Despesas  Operacionais (d) = (d1) + (d2) + (d3) + (d4) + (d5) + (d6) + (d7) + (d8)</t>
  </si>
  <si>
    <t>Rendas de Operações de Crédito (a1)</t>
  </si>
  <si>
    <t>Rendas de Operações de Arrendamento Mercantil (a2)</t>
  </si>
  <si>
    <t>Rendas de Operações com TVM (a3)</t>
  </si>
  <si>
    <t>Rendas de Operações com Instrumentos Financeiros Derivativos (a4)</t>
  </si>
  <si>
    <t>Resultado de Operações de Câmbio (a5)</t>
  </si>
  <si>
    <t>Rendas de Aplicações Compulsórias (a6)</t>
  </si>
  <si>
    <t>Receitas de Intermediação Financeira (a) = (a1) + (a2) + (a3) + (a4) + (a5) + (a6)</t>
  </si>
  <si>
    <t>Despesas de Obrigações por Empréstimos e Repasses (b2)</t>
  </si>
  <si>
    <t>Despesas de Operações de Arrendamento Mercantil (b3)</t>
  </si>
  <si>
    <t>Resultado de Operações de Câmbio (b4)</t>
  </si>
  <si>
    <t>Resultado de Provisão para Créditos de Difícil Liquidação (b5)</t>
  </si>
  <si>
    <t>Despesas de Intermediação Financeira (b) = (b1) + (b2) + (b3) + (b4) + (b5)</t>
  </si>
  <si>
    <t>b1</t>
  </si>
  <si>
    <t>RIO DE JANEIRO</t>
  </si>
  <si>
    <t>RJ</t>
  </si>
  <si>
    <t>BANCO MASTER S/A</t>
  </si>
  <si>
    <t>BANCO MASTER - PRUDENCIAL</t>
  </si>
  <si>
    <t>Resultado com Derivativos (i)</t>
  </si>
  <si>
    <t>Rendas de Títulos e Valores Mobiliários (b)</t>
  </si>
  <si>
    <t>Rendas de Operações de Crédito (c)</t>
  </si>
  <si>
    <t>Resultado com Perda Esperada (f)</t>
  </si>
  <si>
    <t>Despesa de Juros com Captações (g1)</t>
  </si>
  <si>
    <t>instituicao</t>
  </si>
  <si>
    <t>data_base</t>
  </si>
  <si>
    <t>codigo_bacen</t>
  </si>
  <si>
    <t>conglomerado</t>
  </si>
  <si>
    <t>tcb</t>
  </si>
  <si>
    <t>tc</t>
  </si>
  <si>
    <t>ti</t>
  </si>
  <si>
    <t>cidade</t>
  </si>
  <si>
    <t>uf</t>
  </si>
  <si>
    <t>ativo_total</t>
  </si>
  <si>
    <t>captacoes</t>
  </si>
  <si>
    <t>patrimonio_liquido</t>
  </si>
  <si>
    <t>lucro_liquido</t>
  </si>
  <si>
    <t>numero_agencias</t>
  </si>
  <si>
    <t>numero_postos_atendimento</t>
  </si>
  <si>
    <t>carteira_credito</t>
  </si>
  <si>
    <t>passivel_exigivel</t>
  </si>
  <si>
    <t>resultado_intermediacao</t>
  </si>
  <si>
    <t>Rendas de Tarifas Bancárias (m)</t>
  </si>
  <si>
    <t>Outras Rendas de Prestação de Serviços (n)</t>
  </si>
  <si>
    <t>Despesas de Pessoal (o)</t>
  </si>
  <si>
    <t>Despesas Administrativas (p)</t>
  </si>
  <si>
    <t>Despesas Tributárias (s)</t>
  </si>
  <si>
    <t>Resultado de Participações (t)</t>
  </si>
  <si>
    <t>Outras Receitas (u)</t>
  </si>
  <si>
    <t>Outras Despesas (v)</t>
  </si>
  <si>
    <t>outras_receitas_despesas</t>
  </si>
  <si>
    <t>resultado_antes_impostos</t>
  </si>
  <si>
    <t>impostos_ir_csll</t>
  </si>
  <si>
    <t>participacoes_lucro</t>
  </si>
  <si>
    <t>Despesa_Captacao_Total</t>
  </si>
  <si>
    <t>cidade_bas</t>
  </si>
  <si>
    <t>indice_basileia</t>
  </si>
  <si>
    <t>50201.0</t>
  </si>
  <si>
    <t>Coluna1</t>
  </si>
  <si>
    <t>Captações</t>
  </si>
  <si>
    <t>custo_funding</t>
  </si>
  <si>
    <t>custo_funding_anual</t>
  </si>
  <si>
    <t>Despesa_Captacao</t>
  </si>
  <si>
    <t>dataa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</si>
</sst>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CC9B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43" fontId="0" fillId="0" borderId="0" xfId="1" applyFont="1"/>
    <xf numFmtId="43" fontId="0" fillId="2" borderId="0" xfId="1" applyFont="1" applyFill="1"/>
    <xf numFmtId="9" fontId="0" fillId="0" borderId="0" xfId="2" applyFont="1"/>
    <xf numFmtId="164" fontId="0" fillId="3" borderId="0" xfId="2" applyNumberFormat="1" applyFont="1" applyFill="1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69">
    <dxf>
      <numFmt numFmtId="19" formatCode="dd/mm/yyyy"/>
      <alignment horizontal="center" vertical="center" textRotation="0" wrapText="0" indent="0" justifyLastLine="0" shrinkToFit="0" readingOrder="0"/>
    </dxf>
    <dxf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colors>
    <mruColors>
      <color rgb="FFCC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2" xr16:uid="{BCA815A3-8999-4738-9B4C-4D4ABA0F6CBB}" autoFormatId="16" applyNumberFormats="0" applyBorderFormats="0" applyFontFormats="0" applyPatternFormats="0" applyAlignmentFormats="0" applyWidthHeightFormats="0">
  <queryTableRefresh nextId="75" unboundColumnsRight="6">
    <queryTableFields count="74">
      <queryTableField id="1" name="Column1" tableColumnId="1"/>
      <queryTableField id="2" name="instituicao" tableColumnId="2"/>
      <queryTableField id="3" name="data_base" tableColumnId="3"/>
      <queryTableField id="4" name="codigo_bacen" tableColumnId="4"/>
      <queryTableField id="5" name="conglomerado" tableColumnId="5"/>
      <queryTableField id="6" name="tcb" tableColumnId="6"/>
      <queryTableField id="7" name="tc" tableColumnId="7"/>
      <queryTableField id="8" name="ti" tableColumnId="8"/>
      <queryTableField id="9" name="cidade" tableColumnId="9"/>
      <queryTableField id="10" name="uf" tableColumnId="10"/>
      <queryTableField id="11" name="ativo_total" tableColumnId="11"/>
      <queryTableField id="12" name="captacoes" tableColumnId="12"/>
      <queryTableField id="13" name="patrimonio_liquido" tableColumnId="13"/>
      <queryTableField id="14" name="lucro_liquido" tableColumnId="14"/>
      <queryTableField id="15" name="numero_agencias" tableColumnId="15"/>
      <queryTableField id="16" name="numero_postos_atendimento" tableColumnId="16"/>
      <queryTableField id="17" name="carteira_credito" tableColumnId="17"/>
      <queryTableField id="18" name="passivel_exigivel" tableColumnId="18"/>
      <queryTableField id="19" name="Conglomerado Financeiro" tableColumnId="19"/>
      <queryTableField id="20" name="Rendas de Operações de Crédito (a1)" tableColumnId="20"/>
      <queryTableField id="21" name="Rendas de Operações de Arrendamento Mercantil (a2)" tableColumnId="21"/>
      <queryTableField id="22" name="Rendas de Operações com TVM (a3)" tableColumnId="22"/>
      <queryTableField id="23" name="Rendas de Operações com Instrumentos Financeiros Derivativos (a4)" tableColumnId="23"/>
      <queryTableField id="24" name="Resultado de Operações de Câmbio (a5)" tableColumnId="24"/>
      <queryTableField id="25" name="Rendas de Aplicações Compulsórias (a6)" tableColumnId="25"/>
      <queryTableField id="26" name="Receitas de Intermediação Financeira (a) = (a1) + (a2) + (a3) + (a4) + (a5) + (a6)" tableColumnId="26"/>
      <queryTableField id="27" name="Despesas de Obrigações por Empréstimos e Repasses (b2)" tableColumnId="27"/>
      <queryTableField id="28" name="Despesas de Operações de Arrendamento Mercantil (b3)" tableColumnId="28"/>
      <queryTableField id="29" name="Resultado de Operações de Câmbio (b4)" tableColumnId="29"/>
      <queryTableField id="30" name="Resultado de Provisão para Créditos de Difícil Liquidação (b5)" tableColumnId="30"/>
      <queryTableField id="31" name="Despesas de Intermediação Financeira (b) = (b1) + (b2) + (b3) + (b4) + (b5)" tableColumnId="31"/>
      <queryTableField id="32" name="Resultado de Intermediação Financeira (c) = (a) + (b)" tableColumnId="32"/>
      <queryTableField id="33" name="Rendas de Prestação de Serviços (d1)" tableColumnId="33"/>
      <queryTableField id="34" name="Rendas de Tarifas Bancárias (d2)" tableColumnId="34"/>
      <queryTableField id="35" name="Despesas de Pessoal (d3)" tableColumnId="35"/>
      <queryTableField id="36" name="Despesas Administrativas (d4)" tableColumnId="36"/>
      <queryTableField id="37" name="Despesas Tributárias (d5)" tableColumnId="37"/>
      <queryTableField id="38" name="Resultado de Participações (d6)" tableColumnId="38"/>
      <queryTableField id="39" name="Outras Receitas Operacionais (d7)" tableColumnId="39"/>
      <queryTableField id="40" name="Outras Despesas Operacionais (d8)" tableColumnId="40"/>
      <queryTableField id="41" name="Outras Receitas/Despesas  Operacionais (d) = (d1) + (d2) + (d3) + (d4) + (d5) + (d6) + (d7) + (d8)" tableColumnId="41"/>
      <queryTableField id="42" name="Resultado Operacional (e) = (c) + (d)" tableColumnId="42"/>
      <queryTableField id="43" name="Resultado Não Operacional (f)" tableColumnId="43"/>
      <queryTableField id="44" name="Resultado antes da Tributação, Lucro e Participação (g) = (e) + (f)" tableColumnId="44"/>
      <queryTableField id="45" name="Imposto de Renda e Contribuição Social (h)" tableColumnId="45"/>
      <queryTableField id="46" name="Participação nos Lucros (i)" tableColumnId="46"/>
      <queryTableField id="47" name="Lucro Líquido (j) = (g) + (h) + (i)" tableColumnId="47"/>
      <queryTableField id="48" name="Rendas de Títulos e Valores Mobiliários (b)" tableColumnId="48"/>
      <queryTableField id="49" name="Rendas de Operações de Crédito (c)" tableColumnId="49"/>
      <queryTableField id="50" name="Resultado com Perda Esperada (f)" tableColumnId="50"/>
      <queryTableField id="51" name="Despesa de Juros com Captações (g1)" tableColumnId="51"/>
      <queryTableField id="52" name="Resultado com Derivativos (i)" tableColumnId="52"/>
      <queryTableField id="53" name="resultado_intermediacao" tableColumnId="53"/>
      <queryTableField id="54" name="Rendas de Tarifas Bancárias (m)" tableColumnId="54"/>
      <queryTableField id="55" name="Outras Rendas de Prestação de Serviços (n)" tableColumnId="55"/>
      <queryTableField id="56" name="Despesas de Pessoal (o)" tableColumnId="56"/>
      <queryTableField id="57" name="Despesas Administrativas (p)" tableColumnId="57"/>
      <queryTableField id="58" name="Despesas Tributárias (s)" tableColumnId="58"/>
      <queryTableField id="59" name="Resultado de Participações (t)" tableColumnId="59"/>
      <queryTableField id="60" name="Outras Receitas (u)" tableColumnId="60"/>
      <queryTableField id="61" name="Outras Despesas (v)" tableColumnId="61"/>
      <queryTableField id="62" name="outras_receitas_despesas" tableColumnId="62"/>
      <queryTableField id="63" name="resultado_antes_impostos" tableColumnId="63"/>
      <queryTableField id="64" name="impostos_ir_csll" tableColumnId="64"/>
      <queryTableField id="65" name="participacoes_lucro" tableColumnId="65"/>
      <queryTableField id="66" name="Despesa_Captacao_Total" tableColumnId="66"/>
      <queryTableField id="67" name="cidade_bas" tableColumnId="67"/>
      <queryTableField id="68" name="indice_basileia" tableColumnId="68"/>
      <queryTableField id="69" dataBound="0" tableColumnId="70"/>
      <queryTableField id="70" dataBound="0" tableColumnId="71"/>
      <queryTableField id="71" dataBound="0" tableColumnId="72"/>
      <queryTableField id="72" dataBound="0" tableColumnId="73"/>
      <queryTableField id="73" dataBound="0" tableColumnId="74"/>
      <queryTableField id="74" dataBound="0" tableColumnId="7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397009-124B-43AB-9865-5FF9D5922BD7}" name="df_gold" displayName="df_gold" ref="A1:BV18" tableType="queryTable" totalsRowShown="0">
  <autoFilter ref="A1:BV18" xr:uid="{B7397009-124B-43AB-9865-5FF9D5922BD7}"/>
  <tableColumns count="74">
    <tableColumn id="1" xr3:uid="{A66352A5-2390-44C1-843B-2B48D54A6ADC}" uniqueName="1" name="Column1" queryTableFieldId="1"/>
    <tableColumn id="2" xr3:uid="{BD94BE45-4466-4728-94AF-918E07EB4263}" uniqueName="2" name="instituicao" queryTableFieldId="2" dataDxfId="68"/>
    <tableColumn id="3" xr3:uid="{CDF978E5-3E85-496F-9A12-E875AC010F5D}" uniqueName="3" name="data_base" queryTableFieldId="3" dataDxfId="67"/>
    <tableColumn id="4" xr3:uid="{31350280-345C-48E3-A70C-15C85510D78D}" uniqueName="4" name="codigo_bacen" queryTableFieldId="4"/>
    <tableColumn id="5" xr3:uid="{101CB973-9D02-4DFB-BEEE-89CECA373C4B}" uniqueName="5" name="conglomerado" queryTableFieldId="5" dataDxfId="66"/>
    <tableColumn id="6" xr3:uid="{3C426CBE-35E1-46A7-870E-9B4B3ADB457E}" uniqueName="6" name="tcb" queryTableFieldId="6" dataDxfId="65"/>
    <tableColumn id="7" xr3:uid="{8A3C4921-084D-4FD4-9D7B-1CCF89FC34BC}" uniqueName="7" name="tc" queryTableFieldId="7"/>
    <tableColumn id="8" xr3:uid="{24CEF86A-4A4E-47DA-B7F9-E0387F28189D}" uniqueName="8" name="ti" queryTableFieldId="8"/>
    <tableColumn id="9" xr3:uid="{BFB101E1-432E-4609-9054-7A5867967C3C}" uniqueName="9" name="cidade" queryTableFieldId="9" dataDxfId="64"/>
    <tableColumn id="10" xr3:uid="{06E7FD6F-16AE-458C-9E10-D7795B74A917}" uniqueName="10" name="uf" queryTableFieldId="10" dataDxfId="63"/>
    <tableColumn id="11" xr3:uid="{250C3FFB-844F-4C8C-8F55-1FE3DF0620AB}" uniqueName="11" name="ativo_total" queryTableFieldId="11" dataDxfId="62" dataCellStyle="Vírgula"/>
    <tableColumn id="12" xr3:uid="{FD65E934-8FA3-4CC3-B83F-B8845E028511}" uniqueName="12" name="captacoes" queryTableFieldId="12" dataDxfId="61" dataCellStyle="Vírgula"/>
    <tableColumn id="13" xr3:uid="{A13E1D88-1004-4251-9375-1AA26EFE07AF}" uniqueName="13" name="patrimonio_liquido" queryTableFieldId="13" dataDxfId="60" dataCellStyle="Vírgula"/>
    <tableColumn id="14" xr3:uid="{AD06241E-F35F-4E42-AFE3-9AF0A3143E87}" uniqueName="14" name="lucro_liquido" queryTableFieldId="14" dataDxfId="59" dataCellStyle="Vírgula"/>
    <tableColumn id="15" xr3:uid="{F9FA8564-D2D6-4751-AD45-62E76F489605}" uniqueName="15" name="numero_agencias" queryTableFieldId="15" dataDxfId="58" dataCellStyle="Vírgula"/>
    <tableColumn id="16" xr3:uid="{24980D78-6F06-47BE-8D67-09605DD4AAA3}" uniqueName="16" name="numero_postos_atendimento" queryTableFieldId="16" dataDxfId="57" dataCellStyle="Vírgula"/>
    <tableColumn id="17" xr3:uid="{A43542E8-068F-4E43-A7BA-94266B3015C8}" uniqueName="17" name="carteira_credito" queryTableFieldId="17" dataDxfId="56" dataCellStyle="Vírgula"/>
    <tableColumn id="18" xr3:uid="{CC0C197B-0803-4418-861C-DDDCD2924A4B}" uniqueName="18" name="passivel_exigivel" queryTableFieldId="18" dataDxfId="55" dataCellStyle="Vírgula"/>
    <tableColumn id="19" xr3:uid="{54FCE853-F1C6-4817-AE1F-D004839AEEA7}" uniqueName="19" name="Conglomerado Financeiro" queryTableFieldId="19" dataDxfId="54" dataCellStyle="Vírgula"/>
    <tableColumn id="20" xr3:uid="{DD997FB2-E200-4017-AB55-7A1AAE13BEE8}" uniqueName="20" name="Rendas de Operações de Crédito (a1)" queryTableFieldId="20" dataDxfId="53" dataCellStyle="Vírgula"/>
    <tableColumn id="21" xr3:uid="{3D55C77A-D841-428C-B9E3-39529DD50B9C}" uniqueName="21" name="Rendas de Operações de Arrendamento Mercantil (a2)" queryTableFieldId="21" dataDxfId="52" dataCellStyle="Vírgula"/>
    <tableColumn id="22" xr3:uid="{660B342E-BBA4-4DAA-B553-44DFD7E7128D}" uniqueName="22" name="Rendas de Operações com TVM (a3)" queryTableFieldId="22" dataDxfId="51" dataCellStyle="Vírgula"/>
    <tableColumn id="23" xr3:uid="{88E8B017-CB45-43EF-8AF1-3556C36227B8}" uniqueName="23" name="Rendas de Operações com Instrumentos Financeiros Derivativos (a4)" queryTableFieldId="23" dataDxfId="50" dataCellStyle="Vírgula"/>
    <tableColumn id="24" xr3:uid="{DA95DF08-240A-4199-8C8F-480C1C2DE9A7}" uniqueName="24" name="Resultado de Operações de Câmbio (a5)" queryTableFieldId="24" dataDxfId="49" dataCellStyle="Vírgula"/>
    <tableColumn id="25" xr3:uid="{AB86D4BB-84D0-442A-8B66-A535377E8BF2}" uniqueName="25" name="Rendas de Aplicações Compulsórias (a6)" queryTableFieldId="25" dataDxfId="48" dataCellStyle="Vírgula"/>
    <tableColumn id="26" xr3:uid="{B80E60BC-95E4-44B6-AC6C-A19625DDEA52}" uniqueName="26" name="Receitas de Intermediação Financeira (a) = (a1) + (a2) + (a3) + (a4) + (a5) + (a6)" queryTableFieldId="26" dataDxfId="47" dataCellStyle="Vírgula"/>
    <tableColumn id="27" xr3:uid="{A147D062-DCD1-44E7-8C45-34195E49E6E6}" uniqueName="27" name="Despesas de Obrigações por Empréstimos e Repasses (b2)" queryTableFieldId="27" dataDxfId="46" dataCellStyle="Vírgula"/>
    <tableColumn id="28" xr3:uid="{8D4B8FA0-6BD4-4EC4-8FF7-5FBA35E6A86C}" uniqueName="28" name="Despesas de Operações de Arrendamento Mercantil (b3)" queryTableFieldId="28" dataDxfId="45" dataCellStyle="Vírgula"/>
    <tableColumn id="29" xr3:uid="{F16C69DB-17DB-4894-A8AF-62245CB0A92E}" uniqueName="29" name="Resultado de Operações de Câmbio (b4)" queryTableFieldId="29" dataDxfId="44" dataCellStyle="Vírgula"/>
    <tableColumn id="30" xr3:uid="{BD8E3E44-253B-4994-9E15-823586042F57}" uniqueName="30" name="Resultado de Provisão para Créditos de Difícil Liquidação (b5)" queryTableFieldId="30" dataDxfId="43" dataCellStyle="Vírgula"/>
    <tableColumn id="31" xr3:uid="{A0ADC974-4FD3-493B-A33B-278F8B32D373}" uniqueName="31" name="Despesas de Intermediação Financeira (b) = (b1) + (b2) + (b3) + (b4) + (b5)" queryTableFieldId="31" dataDxfId="42" dataCellStyle="Vírgula"/>
    <tableColumn id="32" xr3:uid="{59355EB7-49B8-4C6F-8217-CE83A5F2DC76}" uniqueName="32" name="Resultado de Intermediação Financeira (c) = (a) + (b)" queryTableFieldId="32" dataDxfId="41" dataCellStyle="Vírgula"/>
    <tableColumn id="33" xr3:uid="{48B8EB3C-9149-4BD9-8D90-46EF5A453EAC}" uniqueName="33" name="Rendas de Prestação de Serviços (d1)" queryTableFieldId="33" dataDxfId="40" dataCellStyle="Vírgula"/>
    <tableColumn id="34" xr3:uid="{462D1122-0147-4284-A28D-F7FABD357168}" uniqueName="34" name="Rendas de Tarifas Bancárias (d2)" queryTableFieldId="34" dataDxfId="39" dataCellStyle="Vírgula"/>
    <tableColumn id="35" xr3:uid="{7D1FEBA6-7A4A-4A2C-8F0C-8659D41C20C5}" uniqueName="35" name="Despesas de Pessoal (d3)" queryTableFieldId="35" dataDxfId="38" dataCellStyle="Vírgula"/>
    <tableColumn id="36" xr3:uid="{0EB43A88-DBB0-4DAB-9F3D-50AE14583C9C}" uniqueName="36" name="Despesas Administrativas (d4)" queryTableFieldId="36" dataDxfId="37" dataCellStyle="Vírgula"/>
    <tableColumn id="37" xr3:uid="{17879F36-6E4A-4511-8A85-2E8FC4D2ED37}" uniqueName="37" name="Despesas Tributárias (d5)" queryTableFieldId="37" dataDxfId="36" dataCellStyle="Vírgula"/>
    <tableColumn id="38" xr3:uid="{BF299A6A-4B59-44F6-83B7-132D5379ECB5}" uniqueName="38" name="Resultado de Participações (d6)" queryTableFieldId="38" dataDxfId="35" dataCellStyle="Vírgula"/>
    <tableColumn id="39" xr3:uid="{23F86B4F-3F7A-4697-91BD-76FF3C5D534E}" uniqueName="39" name="Outras Receitas Operacionais (d7)" queryTableFieldId="39" dataDxfId="34" dataCellStyle="Vírgula"/>
    <tableColumn id="40" xr3:uid="{27C83C5C-A905-480A-A194-5DDBD5D845E4}" uniqueName="40" name="Outras Despesas Operacionais (d8)" queryTableFieldId="40" dataDxfId="33" dataCellStyle="Vírgula"/>
    <tableColumn id="41" xr3:uid="{49830C85-526A-4F03-9198-9B931A4A946E}" uniqueName="41" name="Outras Receitas/Despesas  Operacionais (d) = (d1) + (d2) + (d3) + (d4) + (d5) + (d6) + (d7) + (d8)" queryTableFieldId="41" dataDxfId="32" dataCellStyle="Vírgula"/>
    <tableColumn id="42" xr3:uid="{4FA3878E-9811-42BA-9B08-0EBE09BB2C77}" uniqueName="42" name="Resultado Operacional (e) = (c) + (d)" queryTableFieldId="42" dataDxfId="31" dataCellStyle="Vírgula"/>
    <tableColumn id="43" xr3:uid="{B8103DF0-D9C8-4891-A9AD-36A19AB90B3A}" uniqueName="43" name="Resultado Não Operacional (f)" queryTableFieldId="43" dataDxfId="30" dataCellStyle="Vírgula"/>
    <tableColumn id="44" xr3:uid="{05A88CD2-EC80-4937-874B-ECAA603ACB71}" uniqueName="44" name="Resultado antes da Tributação, Lucro e Participação (g) = (e) + (f)" queryTableFieldId="44" dataDxfId="29" dataCellStyle="Vírgula"/>
    <tableColumn id="45" xr3:uid="{4159EA2E-1972-4DC7-9F86-DAF976BE0289}" uniqueName="45" name="Imposto de Renda e Contribuição Social (h)" queryTableFieldId="45" dataDxfId="28" dataCellStyle="Vírgula"/>
    <tableColumn id="46" xr3:uid="{3E04B233-8F9A-4222-ABF5-D870CCF59338}" uniqueName="46" name="Participação nos Lucros (i)" queryTableFieldId="46" dataDxfId="27" dataCellStyle="Vírgula"/>
    <tableColumn id="47" xr3:uid="{9D662855-CD6F-4F02-BF68-E81F07ED5A76}" uniqueName="47" name="Lucro Líquido (j) = (g) + (h) + (i)" queryTableFieldId="47" dataDxfId="26" dataCellStyle="Vírgula"/>
    <tableColumn id="48" xr3:uid="{025A00B2-ADBD-463E-ABC4-5CAEDDB50A02}" uniqueName="48" name="Rendas de Títulos e Valores Mobiliários (b)" queryTableFieldId="48" dataDxfId="25" dataCellStyle="Vírgula"/>
    <tableColumn id="49" xr3:uid="{6EEED657-4DC2-463F-832C-6F49D11724DA}" uniqueName="49" name="Rendas de Operações de Crédito (c)" queryTableFieldId="49" dataDxfId="24" dataCellStyle="Vírgula"/>
    <tableColumn id="50" xr3:uid="{E9D3548E-A192-41A8-98D7-354012BE964C}" uniqueName="50" name="Resultado com Perda Esperada (f)" queryTableFieldId="50" dataDxfId="23" dataCellStyle="Vírgula"/>
    <tableColumn id="51" xr3:uid="{5AD59070-B609-4155-9226-ADDADB888678}" uniqueName="51" name="Despesa de Juros com Captações (g1)" queryTableFieldId="51" dataDxfId="22" dataCellStyle="Vírgula"/>
    <tableColumn id="52" xr3:uid="{E237BA0D-94FE-4DCC-85F8-884FCE919596}" uniqueName="52" name="Resultado com Derivativos (i)" queryTableFieldId="52" dataDxfId="21" dataCellStyle="Vírgula"/>
    <tableColumn id="53" xr3:uid="{9A24EB58-01B6-4CC7-A1C3-45A0D8C1A798}" uniqueName="53" name="resultado_intermediacao" queryTableFieldId="53" dataDxfId="20" dataCellStyle="Vírgula"/>
    <tableColumn id="54" xr3:uid="{5E973FE1-4DDD-4843-A397-685D22AB6E53}" uniqueName="54" name="Rendas de Tarifas Bancárias (m)" queryTableFieldId="54" dataDxfId="19" dataCellStyle="Vírgula"/>
    <tableColumn id="55" xr3:uid="{14BAFCBA-7934-4CC7-9B20-FBDC1FB67E0E}" uniqueName="55" name="Outras Rendas de Prestação de Serviços (n)" queryTableFieldId="55" dataDxfId="18" dataCellStyle="Vírgula"/>
    <tableColumn id="56" xr3:uid="{637F1501-73B8-4042-A3BC-994CBCEF5F75}" uniqueName="56" name="Despesas de Pessoal (o)" queryTableFieldId="56" dataDxfId="17" dataCellStyle="Vírgula"/>
    <tableColumn id="57" xr3:uid="{0A03DBF9-0F42-46B0-B94C-B10F5FA8E4F0}" uniqueName="57" name="Despesas Administrativas (p)" queryTableFieldId="57" dataDxfId="16" dataCellStyle="Vírgula"/>
    <tableColumn id="58" xr3:uid="{7D33D63C-34A0-455A-8D8B-AB42D6CDEA60}" uniqueName="58" name="Despesas Tributárias (s)" queryTableFieldId="58" dataDxfId="15" dataCellStyle="Vírgula"/>
    <tableColumn id="59" xr3:uid="{C88D4E65-9599-4771-8863-5F1A17E38BA0}" uniqueName="59" name="Resultado de Participações (t)" queryTableFieldId="59" dataDxfId="14" dataCellStyle="Vírgula"/>
    <tableColumn id="60" xr3:uid="{5DAF8AE1-3B9B-4BE1-B7CA-4A0EE4005711}" uniqueName="60" name="Outras Receitas (u)" queryTableFieldId="60" dataDxfId="13" dataCellStyle="Vírgula"/>
    <tableColumn id="61" xr3:uid="{9E6696FF-D071-472F-AF67-1AD367FB7DF4}" uniqueName="61" name="Outras Despesas (v)" queryTableFieldId="61" dataDxfId="12" dataCellStyle="Vírgula"/>
    <tableColumn id="62" xr3:uid="{8B1CCFA8-2AB9-4F20-B451-3790D326A0F9}" uniqueName="62" name="outras_receitas_despesas" queryTableFieldId="62" dataDxfId="11" dataCellStyle="Vírgula"/>
    <tableColumn id="63" xr3:uid="{98B8497F-0119-4D1A-9C1A-168567C26C7E}" uniqueName="63" name="resultado_antes_impostos" queryTableFieldId="63" dataDxfId="10" dataCellStyle="Vírgula"/>
    <tableColumn id="64" xr3:uid="{DDC81FFA-5DC9-4ED6-8CA1-34231869E567}" uniqueName="64" name="impostos_ir_csll" queryTableFieldId="64" dataDxfId="9" dataCellStyle="Vírgula"/>
    <tableColumn id="65" xr3:uid="{24036A40-2299-4901-9AE5-66603E04F3FB}" uniqueName="65" name="participacoes_lucro" queryTableFieldId="65" dataDxfId="8" dataCellStyle="Vírgula"/>
    <tableColumn id="66" xr3:uid="{FCA846C8-A34A-49BA-B90D-9841D16A3BF4}" uniqueName="66" name="Despesa_Captacao_Total" queryTableFieldId="66" dataDxfId="7" dataCellStyle="Vírgula"/>
    <tableColumn id="67" xr3:uid="{80A105C5-F3B5-488D-9D58-7E10890886D4}" uniqueName="67" name="cidade_bas" queryTableFieldId="67" dataDxfId="6" dataCellStyle="Vírgula"/>
    <tableColumn id="68" xr3:uid="{AC78C1AD-22D9-4311-B120-F702090F0EFE}" uniqueName="68" name="indice_basileia" queryTableFieldId="68" dataDxfId="5" dataCellStyle="Vírgula"/>
    <tableColumn id="70" xr3:uid="{A18D54AE-D9F6-47EE-91B2-1C986F5510DC}" uniqueName="70" name="Despesa_Captacao" queryTableFieldId="69" dataDxfId="4" dataCellStyle="Vírgula">
      <calculatedColumnFormula>-df_gold[[#This Row],[Despesa_Captacao_Total]]</calculatedColumnFormula>
    </tableColumn>
    <tableColumn id="71" xr3:uid="{9DC67C28-7C18-429B-B2A9-4EE7D99AADC3}" uniqueName="71" name="Captações" queryTableFieldId="70" dataDxfId="3" dataCellStyle="Vírgula">
      <calculatedColumnFormula>L2</calculatedColumnFormula>
    </tableColumn>
    <tableColumn id="72" xr3:uid="{3421BED3-8553-4BA7-A48A-01647AF0BFA3}" uniqueName="72" name="custo_funding" queryTableFieldId="71" dataDxfId="2" dataCellStyle="Vírgula">
      <calculatedColumnFormula>df_gold[[#This Row],[Despesa_Captacao]]/df_gold[[#This Row],[Captações]]</calculatedColumnFormula>
    </tableColumn>
    <tableColumn id="73" xr3:uid="{87EEC7E3-4C00-4F22-9FE7-BF3D6079A345}" uniqueName="73" name="custo_funding_anual" queryTableFieldId="72" dataDxfId="1" dataCellStyle="Porcentagem">
      <calculatedColumnFormula>(1+BS2)^4-1</calculatedColumnFormula>
    </tableColumn>
    <tableColumn id="74" xr3:uid="{EEE4AD2F-0B0F-4E2F-879B-5A82309FB329}" uniqueName="74" name="dataa" queryTableFieldId="73" dataDxfId="0">
      <calculatedColumnFormula>C2</calculatedColumnFormula>
    </tableColumn>
    <tableColumn id="75" xr3:uid="{B73AB064-A5CA-421A-B572-65C215CF1FC8}" uniqueName="75" name="Coluna1" queryTableFieldId="74" dataCellStyle="Porcentagem">
      <calculatedColumnFormula>df_gold[[#This Row],[Despesa_Captacao]]/BQ1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25A1A-9141-4CED-9DE7-AD71EC14F993}">
  <dimension ref="A1:BV18"/>
  <sheetViews>
    <sheetView tabSelected="1" topLeftCell="BK1" workbookViewId="0">
      <selection activeCell="BV8" sqref="BV8"/>
    </sheetView>
  </sheetViews>
  <sheetFormatPr defaultRowHeight="15" x14ac:dyDescent="0.25"/>
  <cols>
    <col min="1" max="1" width="11.28515625" bestFit="1" customWidth="1"/>
    <col min="2" max="2" width="19" bestFit="1" customWidth="1"/>
    <col min="3" max="3" width="12.42578125" bestFit="1" customWidth="1"/>
    <col min="4" max="4" width="15.7109375" bestFit="1" customWidth="1"/>
    <col min="5" max="5" width="28.42578125" bestFit="1" customWidth="1"/>
    <col min="6" max="6" width="6.140625" bestFit="1" customWidth="1"/>
    <col min="7" max="7" width="5" bestFit="1" customWidth="1"/>
    <col min="8" max="8" width="4.7109375" bestFit="1" customWidth="1"/>
    <col min="9" max="9" width="15.140625" bestFit="1" customWidth="1"/>
    <col min="10" max="10" width="5.28515625" bestFit="1" customWidth="1"/>
    <col min="11" max="12" width="15.42578125" style="2" bestFit="1" customWidth="1"/>
    <col min="13" max="13" width="22.28515625" style="2" bestFit="1" customWidth="1"/>
    <col min="14" max="14" width="16.7109375" style="2" bestFit="1" customWidth="1"/>
    <col min="15" max="15" width="20.7109375" style="2" bestFit="1" customWidth="1"/>
    <col min="16" max="16" width="31.85546875" style="2" bestFit="1" customWidth="1"/>
    <col min="17" max="17" width="19" style="2" bestFit="1" customWidth="1"/>
    <col min="18" max="18" width="20.28515625" style="2" bestFit="1" customWidth="1"/>
    <col min="19" max="19" width="28.140625" style="2" bestFit="1" customWidth="1"/>
    <col min="20" max="20" width="38.28515625" style="2" bestFit="1" customWidth="1"/>
    <col min="21" max="21" width="54.28515625" style="2" bestFit="1" customWidth="1"/>
    <col min="22" max="22" width="37.28515625" style="2" bestFit="1" customWidth="1"/>
    <col min="23" max="23" width="67" style="2" bestFit="1" customWidth="1"/>
    <col min="24" max="24" width="41" style="2" bestFit="1" customWidth="1"/>
    <col min="25" max="25" width="41.140625" style="2" bestFit="1" customWidth="1"/>
    <col min="26" max="26" width="74.5703125" style="2" bestFit="1" customWidth="1"/>
    <col min="27" max="27" width="57.28515625" style="2" bestFit="1" customWidth="1"/>
    <col min="28" max="28" width="56.28515625" style="2" bestFit="1" customWidth="1"/>
    <col min="29" max="29" width="41.140625" style="2" bestFit="1" customWidth="1"/>
    <col min="30" max="30" width="60.28515625" style="2" bestFit="1" customWidth="1"/>
    <col min="31" max="31" width="70.85546875" style="2" bestFit="1" customWidth="1"/>
    <col min="32" max="32" width="52" style="2" bestFit="1" customWidth="1"/>
    <col min="33" max="33" width="38.28515625" style="2" bestFit="1" customWidth="1"/>
    <col min="34" max="34" width="33.7109375" style="2" bestFit="1" customWidth="1"/>
    <col min="35" max="35" width="27.42578125" style="2" bestFit="1" customWidth="1"/>
    <col min="36" max="36" width="32.140625" style="2" bestFit="1" customWidth="1"/>
    <col min="37" max="37" width="27.42578125" style="2" bestFit="1" customWidth="1"/>
    <col min="38" max="38" width="33.28515625" style="2" bestFit="1" customWidth="1"/>
    <col min="39" max="39" width="35.28515625" style="2" bestFit="1" customWidth="1"/>
    <col min="40" max="40" width="36.28515625" style="2" bestFit="1" customWidth="1"/>
    <col min="41" max="41" width="81.140625" style="2" bestFit="1" customWidth="1"/>
    <col min="42" max="42" width="37.28515625" style="2" bestFit="1" customWidth="1"/>
    <col min="43" max="43" width="32.140625" style="2" bestFit="1" customWidth="1"/>
    <col min="44" max="44" width="62.7109375" style="2" bestFit="1" customWidth="1"/>
    <col min="45" max="45" width="43.7109375" style="2" bestFit="1" customWidth="1"/>
    <col min="46" max="46" width="28.140625" style="2" bestFit="1" customWidth="1"/>
    <col min="47" max="47" width="32.28515625" style="2" bestFit="1" customWidth="1"/>
    <col min="48" max="48" width="43.7109375" style="2" bestFit="1" customWidth="1"/>
    <col min="49" max="49" width="37.140625" style="2" bestFit="1" customWidth="1"/>
    <col min="50" max="50" width="35.140625" style="2" bestFit="1" customWidth="1"/>
    <col min="51" max="51" width="38.28515625" style="2" bestFit="1" customWidth="1"/>
    <col min="52" max="52" width="31.28515625" style="2" bestFit="1" customWidth="1"/>
    <col min="53" max="53" width="27.5703125" style="2" bestFit="1" customWidth="1"/>
    <col min="54" max="54" width="33.28515625" style="2" bestFit="1" customWidth="1"/>
    <col min="55" max="55" width="43.7109375" style="2" bestFit="1" customWidth="1"/>
    <col min="56" max="56" width="26.42578125" style="2" bestFit="1" customWidth="1"/>
    <col min="57" max="57" width="31" style="2" bestFit="1" customWidth="1"/>
    <col min="58" max="58" width="26.140625" style="2" bestFit="1" customWidth="1"/>
    <col min="59" max="59" width="31.7109375" style="2" bestFit="1" customWidth="1"/>
    <col min="60" max="60" width="21.85546875" style="2" bestFit="1" customWidth="1"/>
    <col min="61" max="61" width="22.5703125" style="2" bestFit="1" customWidth="1"/>
    <col min="62" max="62" width="28.140625" style="2" bestFit="1" customWidth="1"/>
    <col min="63" max="63" width="28.85546875" style="2" bestFit="1" customWidth="1"/>
    <col min="64" max="64" width="19.28515625" style="2" bestFit="1" customWidth="1"/>
    <col min="65" max="65" width="22.28515625" style="2" bestFit="1" customWidth="1"/>
    <col min="66" max="66" width="27.140625" style="2" bestFit="1" customWidth="1"/>
    <col min="67" max="67" width="16.5703125" style="2" bestFit="1" customWidth="1"/>
    <col min="68" max="68" width="18.28515625" style="2" bestFit="1" customWidth="1"/>
    <col min="69" max="69" width="28.140625" style="8" bestFit="1" customWidth="1"/>
    <col min="70" max="70" width="15.28515625" style="8" bestFit="1" customWidth="1"/>
    <col min="71" max="71" width="17.42578125" style="8" bestFit="1" customWidth="1"/>
    <col min="72" max="72" width="22" style="6" bestFit="1" customWidth="1"/>
    <col min="73" max="73" width="10.7109375" style="8" bestFit="1" customWidth="1"/>
  </cols>
  <sheetData>
    <row r="1" spans="1:74" x14ac:dyDescent="0.25">
      <c r="A1" t="s">
        <v>0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s="2" t="s">
        <v>49</v>
      </c>
      <c r="L1" s="3" t="s">
        <v>50</v>
      </c>
      <c r="M1" s="2" t="s">
        <v>51</v>
      </c>
      <c r="N1" s="2" t="s">
        <v>52</v>
      </c>
      <c r="O1" s="2" t="s">
        <v>53</v>
      </c>
      <c r="P1" s="2" t="s">
        <v>54</v>
      </c>
      <c r="Q1" s="2" t="s">
        <v>55</v>
      </c>
      <c r="R1" s="2" t="s">
        <v>56</v>
      </c>
      <c r="S1" s="2" t="s">
        <v>1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8</v>
      </c>
      <c r="AG1" s="2" t="s">
        <v>9</v>
      </c>
      <c r="AH1" s="2" t="s">
        <v>10</v>
      </c>
      <c r="AI1" s="2" t="s">
        <v>11</v>
      </c>
      <c r="AJ1" s="2" t="s">
        <v>12</v>
      </c>
      <c r="AK1" s="2" t="s">
        <v>13</v>
      </c>
      <c r="AL1" s="2" t="s">
        <v>14</v>
      </c>
      <c r="AM1" s="2" t="s">
        <v>15</v>
      </c>
      <c r="AN1" s="2" t="s">
        <v>16</v>
      </c>
      <c r="AO1" s="2" t="s">
        <v>17</v>
      </c>
      <c r="AP1" s="2" t="s">
        <v>2</v>
      </c>
      <c r="AQ1" s="2" t="s">
        <v>3</v>
      </c>
      <c r="AR1" s="2" t="s">
        <v>4</v>
      </c>
      <c r="AS1" s="2" t="s">
        <v>5</v>
      </c>
      <c r="AT1" s="2" t="s">
        <v>6</v>
      </c>
      <c r="AU1" s="2" t="s">
        <v>7</v>
      </c>
      <c r="AV1" s="2" t="s">
        <v>36</v>
      </c>
      <c r="AW1" s="2" t="s">
        <v>37</v>
      </c>
      <c r="AX1" s="2" t="s">
        <v>38</v>
      </c>
      <c r="AY1" s="2" t="s">
        <v>39</v>
      </c>
      <c r="AZ1" s="2" t="s">
        <v>35</v>
      </c>
      <c r="BA1" s="2" t="s">
        <v>57</v>
      </c>
      <c r="BB1" s="2" t="s">
        <v>58</v>
      </c>
      <c r="BC1" s="2" t="s">
        <v>59</v>
      </c>
      <c r="BD1" s="2" t="s">
        <v>60</v>
      </c>
      <c r="BE1" s="2" t="s">
        <v>61</v>
      </c>
      <c r="BF1" s="2" t="s">
        <v>62</v>
      </c>
      <c r="BG1" s="2" t="s">
        <v>63</v>
      </c>
      <c r="BH1" s="2" t="s">
        <v>64</v>
      </c>
      <c r="BI1" s="2" t="s">
        <v>65</v>
      </c>
      <c r="BJ1" s="2" t="s">
        <v>66</v>
      </c>
      <c r="BK1" s="2" t="s">
        <v>67</v>
      </c>
      <c r="BL1" s="2" t="s">
        <v>68</v>
      </c>
      <c r="BM1" s="2" t="s">
        <v>69</v>
      </c>
      <c r="BN1" s="3" t="s">
        <v>70</v>
      </c>
      <c r="BO1" s="2" t="s">
        <v>71</v>
      </c>
      <c r="BP1" s="2" t="s">
        <v>72</v>
      </c>
      <c r="BQ1" s="7" t="s">
        <v>78</v>
      </c>
      <c r="BR1" s="7" t="s">
        <v>75</v>
      </c>
      <c r="BS1" s="7" t="s">
        <v>76</v>
      </c>
      <c r="BT1" s="5" t="s">
        <v>77</v>
      </c>
      <c r="BU1" s="8" t="s">
        <v>79</v>
      </c>
      <c r="BV1" t="s">
        <v>74</v>
      </c>
    </row>
    <row r="2" spans="1:74" x14ac:dyDescent="0.25">
      <c r="A2">
        <v>150509</v>
      </c>
      <c r="B2" t="s">
        <v>33</v>
      </c>
      <c r="C2" s="1">
        <v>44348</v>
      </c>
      <c r="D2">
        <v>33923798</v>
      </c>
      <c r="E2" t="s">
        <v>34</v>
      </c>
      <c r="F2" t="s">
        <v>30</v>
      </c>
      <c r="G2">
        <v>2</v>
      </c>
      <c r="H2">
        <v>2</v>
      </c>
      <c r="I2" t="s">
        <v>31</v>
      </c>
      <c r="J2" t="s">
        <v>32</v>
      </c>
      <c r="K2" s="2">
        <v>71961480</v>
      </c>
      <c r="L2" s="2">
        <v>62030260</v>
      </c>
      <c r="M2" s="2">
        <v>4562050</v>
      </c>
      <c r="N2" s="2">
        <v>335140</v>
      </c>
      <c r="O2" s="2">
        <v>3</v>
      </c>
      <c r="P2" s="2">
        <v>2</v>
      </c>
      <c r="Q2" s="2">
        <v>40041990</v>
      </c>
      <c r="R2" s="2">
        <v>67399430</v>
      </c>
      <c r="S2" s="2" t="s">
        <v>73</v>
      </c>
      <c r="T2" s="2">
        <v>4745330</v>
      </c>
      <c r="U2" s="2">
        <v>0</v>
      </c>
      <c r="V2" s="2">
        <v>442490</v>
      </c>
      <c r="W2" s="2">
        <v>-121160</v>
      </c>
      <c r="X2" s="2">
        <v>678040</v>
      </c>
      <c r="Y2" s="2">
        <v>0</v>
      </c>
      <c r="Z2" s="2">
        <v>5744700</v>
      </c>
      <c r="AA2" s="2">
        <v>-18260</v>
      </c>
      <c r="AB2" s="2">
        <v>0</v>
      </c>
      <c r="AC2" s="2">
        <v>0</v>
      </c>
      <c r="AD2" s="2">
        <v>-304400</v>
      </c>
      <c r="AE2" s="2">
        <v>-2707580</v>
      </c>
      <c r="AF2" s="2">
        <v>3037120</v>
      </c>
      <c r="AG2" s="2">
        <v>930</v>
      </c>
      <c r="AH2" s="2">
        <v>2320</v>
      </c>
      <c r="AI2" s="2">
        <v>-320640</v>
      </c>
      <c r="AJ2" s="2">
        <v>-2246150</v>
      </c>
      <c r="AK2" s="2">
        <v>-166230</v>
      </c>
      <c r="AL2" s="2">
        <v>203970</v>
      </c>
      <c r="AM2" s="2">
        <v>88080</v>
      </c>
      <c r="AN2" s="2">
        <v>-85320</v>
      </c>
      <c r="AO2" s="2">
        <v>-2523050</v>
      </c>
      <c r="AP2" s="2">
        <v>514070</v>
      </c>
      <c r="AQ2" s="2">
        <v>-1300</v>
      </c>
      <c r="AR2" s="2">
        <v>512770</v>
      </c>
      <c r="AS2" s="2">
        <v>-108710</v>
      </c>
      <c r="AT2" s="2">
        <v>-68920</v>
      </c>
      <c r="AU2" s="2">
        <v>335140</v>
      </c>
      <c r="AV2" s="2">
        <v>442490</v>
      </c>
      <c r="AW2" s="2">
        <v>4745330</v>
      </c>
      <c r="AX2" s="2">
        <v>-304400</v>
      </c>
      <c r="AY2" s="2">
        <v>-2384920</v>
      </c>
      <c r="AZ2" s="2">
        <v>-121160</v>
      </c>
      <c r="BA2" s="2">
        <v>3037120</v>
      </c>
      <c r="BB2" s="2">
        <v>2320</v>
      </c>
      <c r="BC2" s="2">
        <v>930</v>
      </c>
      <c r="BD2" s="2">
        <v>-320640</v>
      </c>
      <c r="BE2" s="2">
        <v>-2246150</v>
      </c>
      <c r="BF2" s="2">
        <v>-166230</v>
      </c>
      <c r="BG2" s="2">
        <v>203970</v>
      </c>
      <c r="BH2" s="2">
        <v>88080</v>
      </c>
      <c r="BI2" s="2">
        <v>-85320</v>
      </c>
      <c r="BJ2" s="2">
        <v>-2523050</v>
      </c>
      <c r="BK2" s="2">
        <v>512770</v>
      </c>
      <c r="BL2" s="2">
        <v>-108710</v>
      </c>
      <c r="BM2" s="2">
        <v>-68920</v>
      </c>
      <c r="BN2" s="2">
        <v>-2384920</v>
      </c>
      <c r="BO2" s="2" t="s">
        <v>31</v>
      </c>
      <c r="BP2" s="2">
        <v>1406</v>
      </c>
      <c r="BQ2" s="9">
        <f>-df_gold[[#This Row],[Despesa_Captacao_Total]]</f>
        <v>2384920</v>
      </c>
      <c r="BR2" s="9">
        <f t="shared" ref="BR2:BR18" si="0">L2</f>
        <v>62030260</v>
      </c>
      <c r="BS2" s="6">
        <f>df_gold[[#This Row],[Despesa_Captacao]]/df_gold[[#This Row],[Captações]]</f>
        <v>3.8447686661316587E-2</v>
      </c>
      <c r="BT2" s="6">
        <f t="shared" ref="BT2:BT18" si="1">(1+BS2)^4-1</f>
        <v>0.16288961671732438</v>
      </c>
      <c r="BU2" s="10">
        <f t="shared" ref="BU2:BU18" si="2">C2</f>
        <v>44348</v>
      </c>
      <c r="BV2" s="4"/>
    </row>
    <row r="3" spans="1:74" x14ac:dyDescent="0.25">
      <c r="A3">
        <v>151973</v>
      </c>
      <c r="B3" t="s">
        <v>33</v>
      </c>
      <c r="C3" s="1">
        <v>44440</v>
      </c>
      <c r="D3">
        <v>33923798</v>
      </c>
      <c r="E3" t="s">
        <v>34</v>
      </c>
      <c r="F3" t="s">
        <v>30</v>
      </c>
      <c r="G3">
        <v>2</v>
      </c>
      <c r="H3">
        <v>2</v>
      </c>
      <c r="I3" t="s">
        <v>31</v>
      </c>
      <c r="J3" t="s">
        <v>32</v>
      </c>
      <c r="K3" s="2">
        <v>83791620</v>
      </c>
      <c r="L3" s="2">
        <v>73423640</v>
      </c>
      <c r="M3" s="2">
        <v>5147990</v>
      </c>
      <c r="N3" s="2">
        <v>11730</v>
      </c>
      <c r="O3" s="2">
        <v>3</v>
      </c>
      <c r="P3" s="2">
        <v>2</v>
      </c>
      <c r="Q3" s="2">
        <v>44873420</v>
      </c>
      <c r="R3" s="2">
        <v>78643630</v>
      </c>
      <c r="S3" s="2" t="s">
        <v>73</v>
      </c>
      <c r="T3" s="2">
        <v>2081310</v>
      </c>
      <c r="U3" s="2">
        <v>0</v>
      </c>
      <c r="V3" s="2">
        <v>435450</v>
      </c>
      <c r="W3" s="2">
        <v>-45710</v>
      </c>
      <c r="X3" s="2">
        <v>393570</v>
      </c>
      <c r="Y3" s="2">
        <v>0</v>
      </c>
      <c r="Z3" s="2">
        <v>2864630</v>
      </c>
      <c r="AA3" s="2">
        <v>-4600</v>
      </c>
      <c r="AB3" s="2">
        <v>0</v>
      </c>
      <c r="AC3" s="2">
        <v>0</v>
      </c>
      <c r="AD3" s="2">
        <v>-216510</v>
      </c>
      <c r="AE3" s="2">
        <v>-1592890</v>
      </c>
      <c r="AF3" s="2">
        <v>1271740</v>
      </c>
      <c r="AG3" s="2">
        <v>2270</v>
      </c>
      <c r="AH3" s="2">
        <v>1310</v>
      </c>
      <c r="AI3" s="2">
        <v>-188910</v>
      </c>
      <c r="AJ3" s="2">
        <v>-1022400</v>
      </c>
      <c r="AK3" s="2">
        <v>-73680</v>
      </c>
      <c r="AL3" s="2">
        <v>-2300</v>
      </c>
      <c r="AM3" s="2">
        <v>108060</v>
      </c>
      <c r="AN3" s="2">
        <v>-24370</v>
      </c>
      <c r="AO3" s="2">
        <v>-1200000</v>
      </c>
      <c r="AP3" s="2">
        <v>71740</v>
      </c>
      <c r="AQ3" s="2">
        <v>-4970</v>
      </c>
      <c r="AR3" s="2">
        <v>66770</v>
      </c>
      <c r="AS3" s="2">
        <v>-20410</v>
      </c>
      <c r="AT3" s="2">
        <v>-34620</v>
      </c>
      <c r="AU3" s="2">
        <v>11730</v>
      </c>
      <c r="AV3" s="2">
        <v>435450</v>
      </c>
      <c r="AW3" s="2">
        <v>2081310</v>
      </c>
      <c r="AX3" s="2">
        <v>-216510</v>
      </c>
      <c r="AY3" s="2">
        <v>-1371780</v>
      </c>
      <c r="AZ3" s="2">
        <v>-45710</v>
      </c>
      <c r="BA3" s="2">
        <v>1271740</v>
      </c>
      <c r="BB3" s="2">
        <v>1310</v>
      </c>
      <c r="BC3" s="2">
        <v>2270</v>
      </c>
      <c r="BD3" s="2">
        <v>-188910</v>
      </c>
      <c r="BE3" s="2">
        <v>-1022400</v>
      </c>
      <c r="BF3" s="2">
        <v>-73680</v>
      </c>
      <c r="BG3" s="2">
        <v>-2300</v>
      </c>
      <c r="BH3" s="2">
        <v>108060</v>
      </c>
      <c r="BI3" s="2">
        <v>-24370</v>
      </c>
      <c r="BJ3" s="2">
        <v>-1200000</v>
      </c>
      <c r="BK3" s="2">
        <v>66770</v>
      </c>
      <c r="BL3" s="2">
        <v>-20410</v>
      </c>
      <c r="BM3" s="2">
        <v>-34620</v>
      </c>
      <c r="BN3" s="2">
        <v>-1371780</v>
      </c>
      <c r="BO3" s="2" t="s">
        <v>31</v>
      </c>
      <c r="BP3" s="2">
        <v>1211</v>
      </c>
      <c r="BQ3" s="9">
        <f>-df_gold[[#This Row],[Despesa_Captacao_Total]]</f>
        <v>1371780</v>
      </c>
      <c r="BR3" s="9">
        <f t="shared" si="0"/>
        <v>73423640</v>
      </c>
      <c r="BS3" s="6">
        <f>df_gold[[#This Row],[Despesa_Captacao]]/df_gold[[#This Row],[Captações]]</f>
        <v>1.8683083540941309E-2</v>
      </c>
      <c r="BT3" s="6">
        <f t="shared" si="1"/>
        <v>7.6852887558565008E-2</v>
      </c>
      <c r="BU3" s="10">
        <f t="shared" si="2"/>
        <v>44440</v>
      </c>
      <c r="BV3" s="4">
        <f>df_gold[[#This Row],[Despesa_Captacao]]/BQ2</f>
        <v>0.57518910487563524</v>
      </c>
    </row>
    <row r="4" spans="1:74" x14ac:dyDescent="0.25">
      <c r="A4">
        <v>153429</v>
      </c>
      <c r="B4" t="s">
        <v>33</v>
      </c>
      <c r="C4" s="1">
        <v>44531</v>
      </c>
      <c r="D4">
        <v>33923798</v>
      </c>
      <c r="E4" t="s">
        <v>34</v>
      </c>
      <c r="F4" t="s">
        <v>30</v>
      </c>
      <c r="G4">
        <v>2</v>
      </c>
      <c r="H4">
        <v>2</v>
      </c>
      <c r="I4" t="s">
        <v>31</v>
      </c>
      <c r="J4" t="s">
        <v>32</v>
      </c>
      <c r="K4" s="2">
        <v>103545500</v>
      </c>
      <c r="L4" s="2">
        <v>90276770</v>
      </c>
      <c r="M4" s="2">
        <v>6474850</v>
      </c>
      <c r="N4" s="2">
        <v>1042690</v>
      </c>
      <c r="O4" s="2">
        <v>3</v>
      </c>
      <c r="P4" s="2">
        <v>2</v>
      </c>
      <c r="Q4" s="2">
        <v>40541900</v>
      </c>
      <c r="R4" s="2">
        <v>97070640</v>
      </c>
      <c r="S4" s="2" t="s">
        <v>73</v>
      </c>
      <c r="T4" s="2">
        <v>5553690</v>
      </c>
      <c r="U4" s="2">
        <v>0</v>
      </c>
      <c r="V4" s="2">
        <v>3091310</v>
      </c>
      <c r="W4" s="2">
        <v>-50980</v>
      </c>
      <c r="X4" s="2">
        <v>826360</v>
      </c>
      <c r="Y4" s="2">
        <v>0</v>
      </c>
      <c r="Z4" s="2">
        <v>9420370</v>
      </c>
      <c r="AA4" s="2">
        <v>-7690</v>
      </c>
      <c r="AB4" s="2">
        <v>0</v>
      </c>
      <c r="AC4" s="2">
        <v>0</v>
      </c>
      <c r="AD4" s="2">
        <v>-348890</v>
      </c>
      <c r="AE4" s="2">
        <v>-4721860</v>
      </c>
      <c r="AF4" s="2">
        <v>4698510</v>
      </c>
      <c r="AG4" s="2">
        <v>3380</v>
      </c>
      <c r="AH4" s="2">
        <v>2670</v>
      </c>
      <c r="AI4" s="2">
        <v>-377810</v>
      </c>
      <c r="AJ4" s="2">
        <v>-2688710</v>
      </c>
      <c r="AK4" s="2">
        <v>-236330</v>
      </c>
      <c r="AL4" s="2">
        <v>348950</v>
      </c>
      <c r="AM4" s="2">
        <v>123580</v>
      </c>
      <c r="AN4" s="2">
        <v>-103710</v>
      </c>
      <c r="AO4" s="2">
        <v>-2927980</v>
      </c>
      <c r="AP4" s="2">
        <v>1770530</v>
      </c>
      <c r="AQ4" s="2">
        <v>-9500</v>
      </c>
      <c r="AR4" s="2">
        <v>1761030</v>
      </c>
      <c r="AS4" s="2">
        <v>-463720</v>
      </c>
      <c r="AT4" s="2">
        <v>-254620</v>
      </c>
      <c r="AU4" s="2">
        <v>1042690</v>
      </c>
      <c r="AV4" s="2">
        <v>3091310</v>
      </c>
      <c r="AW4" s="2">
        <v>5553690</v>
      </c>
      <c r="AX4" s="2">
        <v>-348890</v>
      </c>
      <c r="AY4" s="2">
        <v>-4365280</v>
      </c>
      <c r="AZ4" s="2">
        <v>-50980</v>
      </c>
      <c r="BA4" s="2">
        <v>4698510</v>
      </c>
      <c r="BB4" s="2">
        <v>2670</v>
      </c>
      <c r="BC4" s="2">
        <v>3380</v>
      </c>
      <c r="BD4" s="2">
        <v>-377810</v>
      </c>
      <c r="BE4" s="2">
        <v>-2688710</v>
      </c>
      <c r="BF4" s="2">
        <v>-236330</v>
      </c>
      <c r="BG4" s="2">
        <v>348950</v>
      </c>
      <c r="BH4" s="2">
        <v>123580</v>
      </c>
      <c r="BI4" s="2">
        <v>-103710</v>
      </c>
      <c r="BJ4" s="2">
        <v>-2927980</v>
      </c>
      <c r="BK4" s="2">
        <v>1761030</v>
      </c>
      <c r="BL4" s="2">
        <v>-463720</v>
      </c>
      <c r="BM4" s="2">
        <v>-254620</v>
      </c>
      <c r="BN4" s="2">
        <v>-4365280</v>
      </c>
      <c r="BO4" s="2" t="s">
        <v>31</v>
      </c>
      <c r="BP4" s="2">
        <v>1037</v>
      </c>
      <c r="BQ4" s="9">
        <f>-df_gold[[#This Row],[Despesa_Captacao_Total]]</f>
        <v>4365280</v>
      </c>
      <c r="BR4" s="9">
        <f t="shared" si="0"/>
        <v>90276770</v>
      </c>
      <c r="BS4" s="6">
        <f>df_gold[[#This Row],[Despesa_Captacao]]/df_gold[[#This Row],[Captações]]</f>
        <v>4.8354410553235347E-2</v>
      </c>
      <c r="BT4" s="6">
        <f t="shared" si="1"/>
        <v>0.20790424254406736</v>
      </c>
      <c r="BU4" s="10">
        <f t="shared" si="2"/>
        <v>44531</v>
      </c>
      <c r="BV4" s="4">
        <f>df_gold[[#This Row],[Despesa_Captacao]]/BQ3</f>
        <v>3.1822012276020937</v>
      </c>
    </row>
    <row r="5" spans="1:74" x14ac:dyDescent="0.25">
      <c r="A5">
        <v>154895</v>
      </c>
      <c r="B5" t="s">
        <v>33</v>
      </c>
      <c r="C5" s="1">
        <v>44621</v>
      </c>
      <c r="D5">
        <v>33923798</v>
      </c>
      <c r="E5" t="s">
        <v>34</v>
      </c>
      <c r="F5" t="s">
        <v>30</v>
      </c>
      <c r="G5">
        <v>2</v>
      </c>
      <c r="H5">
        <v>2</v>
      </c>
      <c r="I5" t="s">
        <v>31</v>
      </c>
      <c r="J5" t="s">
        <v>32</v>
      </c>
      <c r="K5" s="2">
        <v>121864370</v>
      </c>
      <c r="L5" s="2">
        <v>108274600</v>
      </c>
      <c r="M5" s="2">
        <v>7817710</v>
      </c>
      <c r="N5" s="2">
        <v>319180</v>
      </c>
      <c r="O5" s="2">
        <v>3</v>
      </c>
      <c r="P5" s="2">
        <v>2</v>
      </c>
      <c r="Q5" s="2">
        <v>50543330</v>
      </c>
      <c r="R5" s="2">
        <v>114046650</v>
      </c>
      <c r="S5" s="2" t="s">
        <v>73</v>
      </c>
      <c r="T5" s="2">
        <v>1896180</v>
      </c>
      <c r="U5" s="2">
        <v>0</v>
      </c>
      <c r="V5" s="2">
        <v>1946360</v>
      </c>
      <c r="W5" s="2">
        <v>668140</v>
      </c>
      <c r="X5" s="2">
        <v>27870</v>
      </c>
      <c r="Y5" s="2">
        <v>0</v>
      </c>
      <c r="Z5" s="2">
        <v>4538550</v>
      </c>
      <c r="AA5" s="2">
        <v>0</v>
      </c>
      <c r="AB5" s="2">
        <v>0</v>
      </c>
      <c r="AC5" s="2">
        <v>0</v>
      </c>
      <c r="AD5" s="2">
        <v>-145780</v>
      </c>
      <c r="AE5" s="2">
        <v>-3262320</v>
      </c>
      <c r="AF5" s="2">
        <v>1276230</v>
      </c>
      <c r="AG5" s="2">
        <v>700</v>
      </c>
      <c r="AH5" s="2">
        <v>1330</v>
      </c>
      <c r="AI5" s="2">
        <v>-209310</v>
      </c>
      <c r="AJ5" s="2">
        <v>-1179890</v>
      </c>
      <c r="AK5" s="2">
        <v>-66070</v>
      </c>
      <c r="AL5" s="2">
        <v>389440</v>
      </c>
      <c r="AM5" s="2">
        <v>156470</v>
      </c>
      <c r="AN5" s="2">
        <v>-49680</v>
      </c>
      <c r="AO5" s="2">
        <v>-957010</v>
      </c>
      <c r="AP5" s="2">
        <v>319230</v>
      </c>
      <c r="AQ5" s="2">
        <v>5120</v>
      </c>
      <c r="AR5" s="2">
        <v>324340</v>
      </c>
      <c r="AS5" s="2">
        <v>39020</v>
      </c>
      <c r="AT5" s="2">
        <v>-44180</v>
      </c>
      <c r="AU5" s="2">
        <v>319180</v>
      </c>
      <c r="AV5" s="2">
        <v>1946360</v>
      </c>
      <c r="AW5" s="2">
        <v>1896180</v>
      </c>
      <c r="AX5" s="2">
        <v>-145780</v>
      </c>
      <c r="AY5" s="2">
        <v>-3116530</v>
      </c>
      <c r="AZ5" s="2">
        <v>668140</v>
      </c>
      <c r="BA5" s="2">
        <v>1276230</v>
      </c>
      <c r="BB5" s="2">
        <v>1330</v>
      </c>
      <c r="BC5" s="2">
        <v>700</v>
      </c>
      <c r="BD5" s="2">
        <v>-209310</v>
      </c>
      <c r="BE5" s="2">
        <v>-1179890</v>
      </c>
      <c r="BF5" s="2">
        <v>-66070</v>
      </c>
      <c r="BG5" s="2">
        <v>389440</v>
      </c>
      <c r="BH5" s="2">
        <v>156470</v>
      </c>
      <c r="BI5" s="2">
        <v>-49680</v>
      </c>
      <c r="BJ5" s="2">
        <v>-957010</v>
      </c>
      <c r="BK5" s="2">
        <v>324340</v>
      </c>
      <c r="BL5" s="2">
        <v>39020</v>
      </c>
      <c r="BM5" s="2">
        <v>-44180</v>
      </c>
      <c r="BN5" s="2">
        <v>-3116530</v>
      </c>
      <c r="BO5" s="2" t="s">
        <v>31</v>
      </c>
      <c r="BP5" s="2">
        <v>1125</v>
      </c>
      <c r="BQ5" s="9">
        <f>-df_gold[[#This Row],[Despesa_Captacao_Total]]</f>
        <v>3116530</v>
      </c>
      <c r="BR5" s="9">
        <f t="shared" si="0"/>
        <v>108274600</v>
      </c>
      <c r="BS5" s="6">
        <f>df_gold[[#This Row],[Despesa_Captacao]]/df_gold[[#This Row],[Captações]]</f>
        <v>2.8783574356312562E-2</v>
      </c>
      <c r="BT5" s="6">
        <f t="shared" si="1"/>
        <v>0.12020133683635859</v>
      </c>
      <c r="BU5" s="10">
        <f t="shared" si="2"/>
        <v>44621</v>
      </c>
      <c r="BV5" s="4">
        <f>df_gold[[#This Row],[Despesa_Captacao]]/BQ4</f>
        <v>0.71393587582010776</v>
      </c>
    </row>
    <row r="6" spans="1:74" x14ac:dyDescent="0.25">
      <c r="A6">
        <v>156377</v>
      </c>
      <c r="B6" t="s">
        <v>33</v>
      </c>
      <c r="C6" s="1">
        <v>44713</v>
      </c>
      <c r="D6">
        <v>33923798</v>
      </c>
      <c r="E6" t="s">
        <v>34</v>
      </c>
      <c r="F6" t="s">
        <v>30</v>
      </c>
      <c r="G6">
        <v>2</v>
      </c>
      <c r="H6">
        <v>2</v>
      </c>
      <c r="I6" t="s">
        <v>31</v>
      </c>
      <c r="J6" t="s">
        <v>32</v>
      </c>
      <c r="K6" s="2">
        <v>144039150</v>
      </c>
      <c r="L6" s="2">
        <v>127677900</v>
      </c>
      <c r="M6" s="2">
        <v>10288560</v>
      </c>
      <c r="N6" s="2">
        <v>600060</v>
      </c>
      <c r="O6" s="2">
        <v>3</v>
      </c>
      <c r="P6" s="2">
        <v>2</v>
      </c>
      <c r="Q6" s="2">
        <v>74579120</v>
      </c>
      <c r="R6" s="2">
        <v>133750590</v>
      </c>
      <c r="S6" s="2" t="s">
        <v>73</v>
      </c>
      <c r="T6" s="2">
        <v>4991580</v>
      </c>
      <c r="U6" s="2">
        <v>0</v>
      </c>
      <c r="V6" s="2">
        <v>5231790</v>
      </c>
      <c r="W6" s="2">
        <v>295090</v>
      </c>
      <c r="X6" s="2">
        <v>647140</v>
      </c>
      <c r="Y6" s="2">
        <v>0</v>
      </c>
      <c r="Z6" s="2">
        <v>11165610</v>
      </c>
      <c r="AA6" s="2">
        <v>0</v>
      </c>
      <c r="AB6" s="2">
        <v>0</v>
      </c>
      <c r="AC6" s="2">
        <v>0</v>
      </c>
      <c r="AD6" s="2">
        <v>-554820</v>
      </c>
      <c r="AE6" s="2">
        <v>-7900880</v>
      </c>
      <c r="AF6" s="2">
        <v>3264730</v>
      </c>
      <c r="AG6" s="2">
        <v>6890</v>
      </c>
      <c r="AH6" s="2">
        <v>3500</v>
      </c>
      <c r="AI6" s="2">
        <v>-427640</v>
      </c>
      <c r="AJ6" s="2">
        <v>-3366080</v>
      </c>
      <c r="AK6" s="2">
        <v>-231870</v>
      </c>
      <c r="AL6" s="2">
        <v>2102060</v>
      </c>
      <c r="AM6" s="2">
        <v>159010</v>
      </c>
      <c r="AN6" s="2">
        <v>-2093590</v>
      </c>
      <c r="AO6" s="2">
        <v>-3847720</v>
      </c>
      <c r="AP6" s="2">
        <v>-582990</v>
      </c>
      <c r="AQ6" s="2">
        <v>58470</v>
      </c>
      <c r="AR6" s="2">
        <v>-524520</v>
      </c>
      <c r="AS6" s="2">
        <v>1206020</v>
      </c>
      <c r="AT6" s="2">
        <v>-81440</v>
      </c>
      <c r="AU6" s="2">
        <v>600060</v>
      </c>
      <c r="AV6" s="2">
        <v>5231790</v>
      </c>
      <c r="AW6" s="2">
        <v>4991580</v>
      </c>
      <c r="AX6" s="2">
        <v>-554820</v>
      </c>
      <c r="AY6" s="2">
        <v>-7346060</v>
      </c>
      <c r="AZ6" s="2">
        <v>295090</v>
      </c>
      <c r="BA6" s="2">
        <v>3264730</v>
      </c>
      <c r="BB6" s="2">
        <v>3500</v>
      </c>
      <c r="BC6" s="2">
        <v>6890</v>
      </c>
      <c r="BD6" s="2">
        <v>-427640</v>
      </c>
      <c r="BE6" s="2">
        <v>-3366080</v>
      </c>
      <c r="BF6" s="2">
        <v>-231870</v>
      </c>
      <c r="BG6" s="2">
        <v>2102060</v>
      </c>
      <c r="BH6" s="2">
        <v>159010</v>
      </c>
      <c r="BI6" s="2">
        <v>-2093590</v>
      </c>
      <c r="BJ6" s="2">
        <v>-3847720</v>
      </c>
      <c r="BK6" s="2">
        <v>-524520</v>
      </c>
      <c r="BL6" s="2">
        <v>1206020</v>
      </c>
      <c r="BM6" s="2">
        <v>-81440</v>
      </c>
      <c r="BN6" s="2">
        <v>-7346060</v>
      </c>
      <c r="BO6" s="2" t="s">
        <v>31</v>
      </c>
      <c r="BP6" s="2">
        <v>1173</v>
      </c>
      <c r="BQ6" s="9">
        <f>-df_gold[[#This Row],[Despesa_Captacao_Total]]</f>
        <v>7346060</v>
      </c>
      <c r="BR6" s="9">
        <f t="shared" si="0"/>
        <v>127677900</v>
      </c>
      <c r="BS6" s="6">
        <f>df_gold[[#This Row],[Despesa_Captacao]]/df_gold[[#This Row],[Captações]]</f>
        <v>5.7535877391467122E-2</v>
      </c>
      <c r="BT6" s="6">
        <f t="shared" si="1"/>
        <v>0.25077859311007589</v>
      </c>
      <c r="BU6" s="10">
        <f t="shared" si="2"/>
        <v>44713</v>
      </c>
      <c r="BV6" s="4">
        <f>df_gold[[#This Row],[Despesa_Captacao]]/BQ5</f>
        <v>2.3571279596217587</v>
      </c>
    </row>
    <row r="7" spans="1:74" x14ac:dyDescent="0.25">
      <c r="A7">
        <v>157865</v>
      </c>
      <c r="B7" t="s">
        <v>33</v>
      </c>
      <c r="C7" s="1">
        <v>44805</v>
      </c>
      <c r="D7">
        <v>33923798</v>
      </c>
      <c r="E7" t="s">
        <v>34</v>
      </c>
      <c r="F7" t="s">
        <v>30</v>
      </c>
      <c r="G7">
        <v>2</v>
      </c>
      <c r="H7">
        <v>2</v>
      </c>
      <c r="I7" t="s">
        <v>31</v>
      </c>
      <c r="J7" t="s">
        <v>32</v>
      </c>
      <c r="K7" s="2">
        <v>167736400</v>
      </c>
      <c r="L7" s="2">
        <v>151385630</v>
      </c>
      <c r="M7" s="2">
        <v>10546490</v>
      </c>
      <c r="N7" s="2">
        <v>84370</v>
      </c>
      <c r="O7" s="2">
        <v>3</v>
      </c>
      <c r="P7" s="2">
        <v>2</v>
      </c>
      <c r="Q7" s="2">
        <v>91978230</v>
      </c>
      <c r="R7" s="2">
        <v>157189910</v>
      </c>
      <c r="S7" s="2" t="s">
        <v>73</v>
      </c>
      <c r="T7" s="2">
        <v>4490380</v>
      </c>
      <c r="U7" s="2">
        <v>0</v>
      </c>
      <c r="V7" s="2">
        <v>1207940</v>
      </c>
      <c r="W7" s="2">
        <v>703020</v>
      </c>
      <c r="X7" s="2">
        <v>89010</v>
      </c>
      <c r="Y7" s="2">
        <v>0</v>
      </c>
      <c r="Z7" s="2">
        <v>6490350</v>
      </c>
      <c r="AA7" s="2">
        <v>0</v>
      </c>
      <c r="AB7" s="2">
        <v>0</v>
      </c>
      <c r="AC7" s="2">
        <v>0</v>
      </c>
      <c r="AD7" s="2">
        <v>-933780</v>
      </c>
      <c r="AE7" s="2">
        <v>-4242100</v>
      </c>
      <c r="AF7" s="2">
        <v>2248260</v>
      </c>
      <c r="AG7" s="2">
        <v>17490</v>
      </c>
      <c r="AH7" s="2">
        <v>2280</v>
      </c>
      <c r="AI7" s="2">
        <v>-296140</v>
      </c>
      <c r="AJ7" s="2">
        <v>-2488200</v>
      </c>
      <c r="AK7" s="2">
        <v>-160300</v>
      </c>
      <c r="AL7" s="2">
        <v>1145670</v>
      </c>
      <c r="AM7" s="2">
        <v>58390</v>
      </c>
      <c r="AN7" s="2">
        <v>-1241710</v>
      </c>
      <c r="AO7" s="2">
        <v>-2962520</v>
      </c>
      <c r="AP7" s="2">
        <v>-714260</v>
      </c>
      <c r="AQ7" s="2">
        <v>-3610</v>
      </c>
      <c r="AR7" s="2">
        <v>-717870</v>
      </c>
      <c r="AS7" s="2">
        <v>859040</v>
      </c>
      <c r="AT7" s="2">
        <v>-56810</v>
      </c>
      <c r="AU7" s="2">
        <v>84370</v>
      </c>
      <c r="AV7" s="2">
        <v>1207940</v>
      </c>
      <c r="AW7" s="2">
        <v>4490380</v>
      </c>
      <c r="AX7" s="2">
        <v>-933780</v>
      </c>
      <c r="AY7" s="2">
        <v>-3308320</v>
      </c>
      <c r="AZ7" s="2">
        <v>703020</v>
      </c>
      <c r="BA7" s="2">
        <v>2248260</v>
      </c>
      <c r="BB7" s="2">
        <v>2280</v>
      </c>
      <c r="BC7" s="2">
        <v>17490</v>
      </c>
      <c r="BD7" s="2">
        <v>-296140</v>
      </c>
      <c r="BE7" s="2">
        <v>-2488200</v>
      </c>
      <c r="BF7" s="2">
        <v>-160300</v>
      </c>
      <c r="BG7" s="2">
        <v>1145670</v>
      </c>
      <c r="BH7" s="2">
        <v>58390</v>
      </c>
      <c r="BI7" s="2">
        <v>-1241710</v>
      </c>
      <c r="BJ7" s="2">
        <v>-2962520</v>
      </c>
      <c r="BK7" s="2">
        <v>-717870</v>
      </c>
      <c r="BL7" s="2">
        <v>859040</v>
      </c>
      <c r="BM7" s="2">
        <v>-56810</v>
      </c>
      <c r="BN7" s="2">
        <v>-3308320</v>
      </c>
      <c r="BO7" s="2" t="s">
        <v>31</v>
      </c>
      <c r="BP7" s="2">
        <v>1157</v>
      </c>
      <c r="BQ7" s="9">
        <f>-df_gold[[#This Row],[Despesa_Captacao_Total]]</f>
        <v>3308320</v>
      </c>
      <c r="BR7" s="9">
        <f t="shared" si="0"/>
        <v>151385630</v>
      </c>
      <c r="BS7" s="6">
        <f>df_gold[[#This Row],[Despesa_Captacao]]/df_gold[[#This Row],[Captações]]</f>
        <v>2.1853593369463138E-2</v>
      </c>
      <c r="BT7" s="6">
        <f t="shared" si="1"/>
        <v>9.0321826135570937E-2</v>
      </c>
      <c r="BU7" s="10">
        <f t="shared" si="2"/>
        <v>44805</v>
      </c>
      <c r="BV7" s="4">
        <f>df_gold[[#This Row],[Despesa_Captacao]]/BQ6</f>
        <v>0.45035297833124149</v>
      </c>
    </row>
    <row r="8" spans="1:74" x14ac:dyDescent="0.25">
      <c r="A8">
        <v>159356</v>
      </c>
      <c r="B8" t="s">
        <v>33</v>
      </c>
      <c r="C8" s="1">
        <v>44896</v>
      </c>
      <c r="D8">
        <v>33923798</v>
      </c>
      <c r="E8" t="s">
        <v>34</v>
      </c>
      <c r="F8" t="s">
        <v>30</v>
      </c>
      <c r="G8">
        <v>2</v>
      </c>
      <c r="H8">
        <v>2</v>
      </c>
      <c r="I8" t="s">
        <v>31</v>
      </c>
      <c r="J8" t="s">
        <v>32</v>
      </c>
      <c r="K8" s="2">
        <v>205416580</v>
      </c>
      <c r="L8" s="2">
        <v>183706060</v>
      </c>
      <c r="M8" s="2">
        <v>15662860</v>
      </c>
      <c r="N8" s="2">
        <v>1508210</v>
      </c>
      <c r="O8" s="2">
        <v>3</v>
      </c>
      <c r="P8" s="2">
        <v>3</v>
      </c>
      <c r="Q8" s="2">
        <v>97886740</v>
      </c>
      <c r="R8" s="2">
        <v>189753720</v>
      </c>
      <c r="S8" s="2" t="s">
        <v>73</v>
      </c>
      <c r="T8" s="2">
        <v>13468370</v>
      </c>
      <c r="U8" s="2">
        <v>0</v>
      </c>
      <c r="V8" s="2">
        <v>2638490</v>
      </c>
      <c r="W8" s="2">
        <v>-186050</v>
      </c>
      <c r="X8" s="2">
        <v>301170</v>
      </c>
      <c r="Y8" s="2">
        <v>0</v>
      </c>
      <c r="Z8" s="2">
        <v>16221980</v>
      </c>
      <c r="AA8" s="2">
        <v>0</v>
      </c>
      <c r="AB8" s="2">
        <v>0</v>
      </c>
      <c r="AC8" s="2">
        <v>0</v>
      </c>
      <c r="AD8" s="2">
        <v>416610</v>
      </c>
      <c r="AE8" s="2">
        <v>-9427980</v>
      </c>
      <c r="AF8" s="2">
        <v>6794000</v>
      </c>
      <c r="AG8" s="2">
        <v>84270</v>
      </c>
      <c r="AH8" s="2">
        <v>4630</v>
      </c>
      <c r="AI8" s="2">
        <v>-585130</v>
      </c>
      <c r="AJ8" s="2">
        <v>-5326100</v>
      </c>
      <c r="AK8" s="2">
        <v>-407590</v>
      </c>
      <c r="AL8" s="2">
        <v>1866950</v>
      </c>
      <c r="AM8" s="2">
        <v>86440</v>
      </c>
      <c r="AN8" s="2">
        <v>-1190230</v>
      </c>
      <c r="AO8" s="2">
        <v>-5466770</v>
      </c>
      <c r="AP8" s="2">
        <v>1327240</v>
      </c>
      <c r="AQ8" s="2">
        <v>-1910</v>
      </c>
      <c r="AR8" s="2">
        <v>1325330</v>
      </c>
      <c r="AS8" s="2">
        <v>269070</v>
      </c>
      <c r="AT8" s="2">
        <v>-86190</v>
      </c>
      <c r="AU8" s="2">
        <v>1508210</v>
      </c>
      <c r="AV8" s="2">
        <v>2638490</v>
      </c>
      <c r="AW8" s="2">
        <v>13468370</v>
      </c>
      <c r="AX8" s="2">
        <v>416610</v>
      </c>
      <c r="AY8" s="2">
        <v>-9844590</v>
      </c>
      <c r="AZ8" s="2">
        <v>-186050</v>
      </c>
      <c r="BA8" s="2">
        <v>6794000</v>
      </c>
      <c r="BB8" s="2">
        <v>4630</v>
      </c>
      <c r="BC8" s="2">
        <v>84270</v>
      </c>
      <c r="BD8" s="2">
        <v>-585130</v>
      </c>
      <c r="BE8" s="2">
        <v>-5326100</v>
      </c>
      <c r="BF8" s="2">
        <v>-407590</v>
      </c>
      <c r="BG8" s="2">
        <v>1866950</v>
      </c>
      <c r="BH8" s="2">
        <v>86440</v>
      </c>
      <c r="BI8" s="2">
        <v>-1190230</v>
      </c>
      <c r="BJ8" s="2">
        <v>-5466770</v>
      </c>
      <c r="BK8" s="2">
        <v>1325330</v>
      </c>
      <c r="BL8" s="2">
        <v>269070</v>
      </c>
      <c r="BM8" s="2">
        <v>-86190</v>
      </c>
      <c r="BN8" s="2">
        <v>-9844590</v>
      </c>
      <c r="BO8" s="2" t="s">
        <v>31</v>
      </c>
      <c r="BP8" s="2">
        <v>1232</v>
      </c>
      <c r="BQ8" s="9">
        <f>-df_gold[[#This Row],[Despesa_Captacao_Total]]</f>
        <v>9844590</v>
      </c>
      <c r="BR8" s="9">
        <f t="shared" si="0"/>
        <v>183706060</v>
      </c>
      <c r="BS8" s="6">
        <f>df_gold[[#This Row],[Despesa_Captacao]]/df_gold[[#This Row],[Captações]]</f>
        <v>5.3588814653147535E-2</v>
      </c>
      <c r="BT8" s="6">
        <f t="shared" si="1"/>
        <v>0.23220964904354657</v>
      </c>
      <c r="BU8" s="10">
        <f t="shared" si="2"/>
        <v>44896</v>
      </c>
      <c r="BV8" s="4">
        <f>df_gold[[#This Row],[Despesa_Captacao]]/BQ7</f>
        <v>2.9757067031000628</v>
      </c>
    </row>
    <row r="9" spans="1:74" x14ac:dyDescent="0.25">
      <c r="A9">
        <v>160866</v>
      </c>
      <c r="B9" t="s">
        <v>33</v>
      </c>
      <c r="C9" s="1">
        <v>44986</v>
      </c>
      <c r="D9">
        <v>33923798</v>
      </c>
      <c r="E9" t="s">
        <v>34</v>
      </c>
      <c r="F9" t="s">
        <v>30</v>
      </c>
      <c r="G9">
        <v>2</v>
      </c>
      <c r="H9">
        <v>2</v>
      </c>
      <c r="I9" t="s">
        <v>31</v>
      </c>
      <c r="J9" t="s">
        <v>32</v>
      </c>
      <c r="K9" s="2">
        <v>230777060</v>
      </c>
      <c r="L9" s="2">
        <v>207607380</v>
      </c>
      <c r="M9" s="2">
        <v>16608910</v>
      </c>
      <c r="N9" s="2">
        <v>709360</v>
      </c>
      <c r="O9" s="2">
        <v>3</v>
      </c>
      <c r="P9" s="2">
        <v>3</v>
      </c>
      <c r="Q9" s="2">
        <v>107663690</v>
      </c>
      <c r="R9" s="2">
        <v>214168150</v>
      </c>
      <c r="S9" s="2" t="s">
        <v>73</v>
      </c>
      <c r="T9" s="2">
        <v>8416250</v>
      </c>
      <c r="U9" s="2">
        <v>0</v>
      </c>
      <c r="V9" s="2">
        <v>1035510</v>
      </c>
      <c r="W9" s="2">
        <v>491080</v>
      </c>
      <c r="X9" s="2">
        <v>135380</v>
      </c>
      <c r="Y9" s="2">
        <v>20940</v>
      </c>
      <c r="Z9" s="2">
        <v>10099150</v>
      </c>
      <c r="AA9" s="2">
        <v>0</v>
      </c>
      <c r="AB9" s="2">
        <v>0</v>
      </c>
      <c r="AC9" s="2">
        <v>0</v>
      </c>
      <c r="AD9" s="2">
        <v>113450</v>
      </c>
      <c r="AE9" s="2">
        <v>-7050310</v>
      </c>
      <c r="AF9" s="2">
        <v>3048840</v>
      </c>
      <c r="AG9" s="2">
        <v>169840</v>
      </c>
      <c r="AH9" s="2">
        <v>4070</v>
      </c>
      <c r="AI9" s="2">
        <v>-323540</v>
      </c>
      <c r="AJ9" s="2">
        <v>-1983710</v>
      </c>
      <c r="AK9" s="2">
        <v>-147520</v>
      </c>
      <c r="AL9" s="2">
        <v>453520</v>
      </c>
      <c r="AM9" s="2">
        <v>61560</v>
      </c>
      <c r="AN9" s="2">
        <v>-151740</v>
      </c>
      <c r="AO9" s="2">
        <v>-1917520</v>
      </c>
      <c r="AP9" s="2">
        <v>1131320</v>
      </c>
      <c r="AQ9" s="2">
        <v>-1700</v>
      </c>
      <c r="AR9" s="2">
        <v>1129620</v>
      </c>
      <c r="AS9" s="2">
        <v>-243850</v>
      </c>
      <c r="AT9" s="2">
        <v>-176410</v>
      </c>
      <c r="AU9" s="2">
        <v>709360</v>
      </c>
      <c r="AV9" s="2">
        <v>1035510</v>
      </c>
      <c r="AW9" s="2">
        <v>8416250</v>
      </c>
      <c r="AX9" s="2">
        <v>113450</v>
      </c>
      <c r="AY9" s="2">
        <v>-7163760</v>
      </c>
      <c r="AZ9" s="2">
        <v>491080</v>
      </c>
      <c r="BA9" s="2">
        <v>3048840</v>
      </c>
      <c r="BB9" s="2">
        <v>4070</v>
      </c>
      <c r="BC9" s="2">
        <v>169840</v>
      </c>
      <c r="BD9" s="2">
        <v>-323540</v>
      </c>
      <c r="BE9" s="2">
        <v>-1983710</v>
      </c>
      <c r="BF9" s="2">
        <v>-147520</v>
      </c>
      <c r="BG9" s="2">
        <v>453520</v>
      </c>
      <c r="BH9" s="2">
        <v>61560</v>
      </c>
      <c r="BI9" s="2">
        <v>-151740</v>
      </c>
      <c r="BJ9" s="2">
        <v>-1917520</v>
      </c>
      <c r="BK9" s="2">
        <v>1129620</v>
      </c>
      <c r="BL9" s="2">
        <v>-243850</v>
      </c>
      <c r="BM9" s="2">
        <v>-176410</v>
      </c>
      <c r="BN9" s="2">
        <v>-7163760</v>
      </c>
      <c r="BO9" s="2" t="s">
        <v>31</v>
      </c>
      <c r="BP9" s="2">
        <v>1156</v>
      </c>
      <c r="BQ9" s="9">
        <f>-df_gold[[#This Row],[Despesa_Captacao_Total]]</f>
        <v>7163760</v>
      </c>
      <c r="BR9" s="9">
        <f t="shared" si="0"/>
        <v>207607380</v>
      </c>
      <c r="BS9" s="6">
        <f>df_gold[[#This Row],[Despesa_Captacao]]/df_gold[[#This Row],[Captações]]</f>
        <v>3.4506287782255139E-2</v>
      </c>
      <c r="BT9" s="6">
        <f t="shared" si="1"/>
        <v>0.14533501656099568</v>
      </c>
      <c r="BU9" s="10">
        <f t="shared" si="2"/>
        <v>44986</v>
      </c>
      <c r="BV9" s="4">
        <f>df_gold[[#This Row],[Despesa_Captacao]]/BQ8</f>
        <v>0.72768495183649096</v>
      </c>
    </row>
    <row r="10" spans="1:74" x14ac:dyDescent="0.25">
      <c r="A10">
        <v>162383</v>
      </c>
      <c r="B10" t="s">
        <v>33</v>
      </c>
      <c r="C10" s="1">
        <v>45078</v>
      </c>
      <c r="D10">
        <v>33923798</v>
      </c>
      <c r="E10" t="s">
        <v>34</v>
      </c>
      <c r="F10" t="s">
        <v>30</v>
      </c>
      <c r="G10">
        <v>2</v>
      </c>
      <c r="H10">
        <v>2</v>
      </c>
      <c r="I10" t="s">
        <v>31</v>
      </c>
      <c r="J10" t="s">
        <v>32</v>
      </c>
      <c r="K10" s="2">
        <v>273318440</v>
      </c>
      <c r="L10" s="2">
        <v>245198320</v>
      </c>
      <c r="M10" s="2">
        <v>18553440</v>
      </c>
      <c r="N10" s="2">
        <v>2905560</v>
      </c>
      <c r="O10" s="2">
        <v>3</v>
      </c>
      <c r="P10" s="2">
        <v>3</v>
      </c>
      <c r="Q10" s="2">
        <v>116005410</v>
      </c>
      <c r="R10" s="2">
        <v>254765000</v>
      </c>
      <c r="S10" s="2" t="s">
        <v>73</v>
      </c>
      <c r="T10" s="2">
        <v>17880180</v>
      </c>
      <c r="U10" s="2">
        <v>0</v>
      </c>
      <c r="V10" s="2">
        <v>7462290</v>
      </c>
      <c r="W10" s="2">
        <v>1682540</v>
      </c>
      <c r="X10" s="2">
        <v>267520</v>
      </c>
      <c r="Y10" s="2">
        <v>191580</v>
      </c>
      <c r="Z10" s="2">
        <v>27484110</v>
      </c>
      <c r="AA10" s="2">
        <v>0</v>
      </c>
      <c r="AB10" s="2">
        <v>0</v>
      </c>
      <c r="AC10" s="2">
        <v>0</v>
      </c>
      <c r="AD10" s="2">
        <v>-298700</v>
      </c>
      <c r="AE10" s="2">
        <v>-15905340</v>
      </c>
      <c r="AF10" s="2">
        <v>11578770</v>
      </c>
      <c r="AG10" s="2">
        <v>308880</v>
      </c>
      <c r="AH10" s="2">
        <v>39980</v>
      </c>
      <c r="AI10" s="2">
        <v>-660550</v>
      </c>
      <c r="AJ10" s="2">
        <v>-4836580</v>
      </c>
      <c r="AK10" s="2">
        <v>-559210</v>
      </c>
      <c r="AL10" s="2">
        <v>419540</v>
      </c>
      <c r="AM10" s="2">
        <v>77290</v>
      </c>
      <c r="AN10" s="2">
        <v>-1571760</v>
      </c>
      <c r="AO10" s="2">
        <v>-6782410</v>
      </c>
      <c r="AP10" s="2">
        <v>4796360</v>
      </c>
      <c r="AQ10" s="2">
        <v>12680</v>
      </c>
      <c r="AR10" s="2">
        <v>4809040</v>
      </c>
      <c r="AS10" s="2">
        <v>-1629960</v>
      </c>
      <c r="AT10" s="2">
        <v>-273520</v>
      </c>
      <c r="AU10" s="2">
        <v>2905560</v>
      </c>
      <c r="AV10" s="2">
        <v>7462290</v>
      </c>
      <c r="AW10" s="2">
        <v>17880180</v>
      </c>
      <c r="AX10" s="2">
        <v>-298700</v>
      </c>
      <c r="AY10" s="2">
        <v>-15606640</v>
      </c>
      <c r="AZ10" s="2">
        <v>1682540</v>
      </c>
      <c r="BA10" s="2">
        <v>11578770</v>
      </c>
      <c r="BB10" s="2">
        <v>39980</v>
      </c>
      <c r="BC10" s="2">
        <v>308880</v>
      </c>
      <c r="BD10" s="2">
        <v>-660550</v>
      </c>
      <c r="BE10" s="2">
        <v>-4836580</v>
      </c>
      <c r="BF10" s="2">
        <v>-559210</v>
      </c>
      <c r="BG10" s="2">
        <v>419540</v>
      </c>
      <c r="BH10" s="2">
        <v>77290</v>
      </c>
      <c r="BI10" s="2">
        <v>-1571760</v>
      </c>
      <c r="BJ10" s="2">
        <v>-6782410</v>
      </c>
      <c r="BK10" s="2">
        <v>4809040</v>
      </c>
      <c r="BL10" s="2">
        <v>-1629960</v>
      </c>
      <c r="BM10" s="2">
        <v>-273520</v>
      </c>
      <c r="BN10" s="2">
        <v>-15606640</v>
      </c>
      <c r="BO10" s="2" t="s">
        <v>31</v>
      </c>
      <c r="BP10" s="2">
        <v>1232</v>
      </c>
      <c r="BQ10" s="9">
        <f>-df_gold[[#This Row],[Despesa_Captacao_Total]]</f>
        <v>15606640</v>
      </c>
      <c r="BR10" s="9">
        <f t="shared" si="0"/>
        <v>245198320</v>
      </c>
      <c r="BS10" s="6">
        <f>df_gold[[#This Row],[Despesa_Captacao]]/df_gold[[#This Row],[Captações]]</f>
        <v>6.3649049471464561E-2</v>
      </c>
      <c r="BT10" s="6">
        <f t="shared" si="1"/>
        <v>0.27995123960958468</v>
      </c>
      <c r="BU10" s="10">
        <f t="shared" si="2"/>
        <v>45078</v>
      </c>
      <c r="BV10" s="4">
        <f>df_gold[[#This Row],[Despesa_Captacao]]/BQ9</f>
        <v>2.1785542787586407</v>
      </c>
    </row>
    <row r="11" spans="1:74" x14ac:dyDescent="0.25">
      <c r="A11">
        <v>163910</v>
      </c>
      <c r="B11" t="s">
        <v>33</v>
      </c>
      <c r="C11" s="1">
        <v>45170</v>
      </c>
      <c r="D11">
        <v>33923798</v>
      </c>
      <c r="E11" t="s">
        <v>34</v>
      </c>
      <c r="F11" t="s">
        <v>30</v>
      </c>
      <c r="G11">
        <v>2</v>
      </c>
      <c r="H11">
        <v>2</v>
      </c>
      <c r="I11" t="s">
        <v>31</v>
      </c>
      <c r="J11" t="s">
        <v>32</v>
      </c>
      <c r="K11" s="2">
        <v>308578300</v>
      </c>
      <c r="L11" s="2">
        <v>279355610</v>
      </c>
      <c r="M11" s="2">
        <v>18583480</v>
      </c>
      <c r="N11" s="2">
        <v>38140</v>
      </c>
      <c r="O11" s="2">
        <v>3</v>
      </c>
      <c r="P11" s="2">
        <v>3</v>
      </c>
      <c r="Q11" s="2">
        <v>132910680</v>
      </c>
      <c r="R11" s="2">
        <v>289994820</v>
      </c>
      <c r="S11" s="2" t="s">
        <v>73</v>
      </c>
      <c r="T11" s="2">
        <v>7208450</v>
      </c>
      <c r="U11" s="2">
        <v>0</v>
      </c>
      <c r="V11" s="2">
        <v>2476570</v>
      </c>
      <c r="W11" s="2">
        <v>-176620</v>
      </c>
      <c r="X11" s="2">
        <v>173220</v>
      </c>
      <c r="Y11" s="2">
        <v>343200</v>
      </c>
      <c r="Z11" s="2">
        <v>10024830</v>
      </c>
      <c r="AA11" s="2">
        <v>0</v>
      </c>
      <c r="AB11" s="2">
        <v>0</v>
      </c>
      <c r="AC11" s="2">
        <v>0</v>
      </c>
      <c r="AD11" s="2">
        <v>-713590</v>
      </c>
      <c r="AE11" s="2">
        <v>-7226210</v>
      </c>
      <c r="AF11" s="2">
        <v>2798620</v>
      </c>
      <c r="AG11" s="2">
        <v>138690</v>
      </c>
      <c r="AH11" s="2">
        <v>52310</v>
      </c>
      <c r="AI11" s="2">
        <v>-393290</v>
      </c>
      <c r="AJ11" s="2">
        <v>-2338920</v>
      </c>
      <c r="AK11" s="2">
        <v>-229420</v>
      </c>
      <c r="AL11" s="2">
        <v>51090</v>
      </c>
      <c r="AM11" s="2">
        <v>686440</v>
      </c>
      <c r="AN11" s="2">
        <v>-724630</v>
      </c>
      <c r="AO11" s="2">
        <v>-2757720</v>
      </c>
      <c r="AP11" s="2">
        <v>40900</v>
      </c>
      <c r="AQ11" s="2">
        <v>-2640</v>
      </c>
      <c r="AR11" s="2">
        <v>38270</v>
      </c>
      <c r="AS11" s="2">
        <v>-130</v>
      </c>
      <c r="AT11" s="2">
        <v>0</v>
      </c>
      <c r="AU11" s="2">
        <v>38140</v>
      </c>
      <c r="AV11" s="2">
        <v>2476570</v>
      </c>
      <c r="AW11" s="2">
        <v>7208450</v>
      </c>
      <c r="AX11" s="2">
        <v>-713590</v>
      </c>
      <c r="AY11" s="2">
        <v>-6512610</v>
      </c>
      <c r="AZ11" s="2">
        <v>-176620</v>
      </c>
      <c r="BA11" s="2">
        <v>2798620</v>
      </c>
      <c r="BB11" s="2">
        <v>52310</v>
      </c>
      <c r="BC11" s="2">
        <v>138690</v>
      </c>
      <c r="BD11" s="2">
        <v>-393290</v>
      </c>
      <c r="BE11" s="2">
        <v>-2338920</v>
      </c>
      <c r="BF11" s="2">
        <v>-229420</v>
      </c>
      <c r="BG11" s="2">
        <v>51090</v>
      </c>
      <c r="BH11" s="2">
        <v>686440</v>
      </c>
      <c r="BI11" s="2">
        <v>-724630</v>
      </c>
      <c r="BJ11" s="2">
        <v>-2757720</v>
      </c>
      <c r="BK11" s="2">
        <v>38270</v>
      </c>
      <c r="BL11" s="2">
        <v>-130</v>
      </c>
      <c r="BM11" s="2">
        <v>0</v>
      </c>
      <c r="BN11" s="2">
        <v>-6512610</v>
      </c>
      <c r="BO11" s="2" t="s">
        <v>31</v>
      </c>
      <c r="BP11" s="2">
        <v>116</v>
      </c>
      <c r="BQ11" s="9">
        <f>-df_gold[[#This Row],[Despesa_Captacao_Total]]</f>
        <v>6512610</v>
      </c>
      <c r="BR11" s="9">
        <f t="shared" si="0"/>
        <v>279355610</v>
      </c>
      <c r="BS11" s="6">
        <f>df_gold[[#This Row],[Despesa_Captacao]]/df_gold[[#This Row],[Captações]]</f>
        <v>2.3312973739814998E-2</v>
      </c>
      <c r="BT11" s="6">
        <f t="shared" si="1"/>
        <v>9.6563840728190797E-2</v>
      </c>
      <c r="BU11" s="10">
        <f t="shared" si="2"/>
        <v>45170</v>
      </c>
      <c r="BV11" s="4">
        <f>df_gold[[#This Row],[Despesa_Captacao]]/BQ10</f>
        <v>0.41729738111470505</v>
      </c>
    </row>
    <row r="12" spans="1:74" x14ac:dyDescent="0.25">
      <c r="A12">
        <v>165453</v>
      </c>
      <c r="B12" t="s">
        <v>33</v>
      </c>
      <c r="C12" s="1">
        <v>45261</v>
      </c>
      <c r="D12">
        <v>33923798</v>
      </c>
      <c r="E12" t="s">
        <v>34</v>
      </c>
      <c r="F12" t="s">
        <v>30</v>
      </c>
      <c r="G12">
        <v>2</v>
      </c>
      <c r="H12">
        <v>2</v>
      </c>
      <c r="I12" t="s">
        <v>31</v>
      </c>
      <c r="J12" t="s">
        <v>32</v>
      </c>
      <c r="K12" s="2">
        <v>361415860</v>
      </c>
      <c r="L12" s="2">
        <v>326258490</v>
      </c>
      <c r="M12" s="2">
        <v>23824460</v>
      </c>
      <c r="N12" s="2">
        <v>2412320</v>
      </c>
      <c r="O12" s="2">
        <v>3</v>
      </c>
      <c r="P12" s="2">
        <v>3</v>
      </c>
      <c r="Q12" s="2">
        <v>161055500</v>
      </c>
      <c r="R12" s="2">
        <v>337591400</v>
      </c>
      <c r="S12" s="2" t="s">
        <v>73</v>
      </c>
      <c r="T12" s="2">
        <v>17448700</v>
      </c>
      <c r="U12" s="2">
        <v>0</v>
      </c>
      <c r="V12" s="2">
        <v>9186310</v>
      </c>
      <c r="W12" s="2">
        <v>18870</v>
      </c>
      <c r="X12" s="2">
        <v>440190</v>
      </c>
      <c r="Y12" s="2">
        <v>769690</v>
      </c>
      <c r="Z12" s="2">
        <v>27863760</v>
      </c>
      <c r="AA12" s="2">
        <v>0</v>
      </c>
      <c r="AB12" s="2">
        <v>0</v>
      </c>
      <c r="AC12" s="2">
        <v>0</v>
      </c>
      <c r="AD12" s="2">
        <v>-2352650</v>
      </c>
      <c r="AE12" s="2">
        <v>-22190690</v>
      </c>
      <c r="AF12" s="2">
        <v>5673080</v>
      </c>
      <c r="AG12" s="2">
        <v>339050</v>
      </c>
      <c r="AH12" s="2">
        <v>93710</v>
      </c>
      <c r="AI12" s="2">
        <v>-794990</v>
      </c>
      <c r="AJ12" s="2">
        <v>-6114320</v>
      </c>
      <c r="AK12" s="2">
        <v>-384730</v>
      </c>
      <c r="AL12" s="2">
        <v>3040800</v>
      </c>
      <c r="AM12" s="2">
        <v>777970</v>
      </c>
      <c r="AN12" s="2">
        <v>-898550</v>
      </c>
      <c r="AO12" s="2">
        <v>-3941060</v>
      </c>
      <c r="AP12" s="2">
        <v>1732020</v>
      </c>
      <c r="AQ12" s="2">
        <v>-18190</v>
      </c>
      <c r="AR12" s="2">
        <v>1713830</v>
      </c>
      <c r="AS12" s="2">
        <v>780640</v>
      </c>
      <c r="AT12" s="2">
        <v>-82150</v>
      </c>
      <c r="AU12" s="2">
        <v>2412320</v>
      </c>
      <c r="AV12" s="2">
        <v>9186310</v>
      </c>
      <c r="AW12" s="2">
        <v>17448700</v>
      </c>
      <c r="AX12" s="2">
        <v>-2352650</v>
      </c>
      <c r="AY12" s="2">
        <v>-19838040</v>
      </c>
      <c r="AZ12" s="2">
        <v>18870</v>
      </c>
      <c r="BA12" s="2">
        <v>5673080</v>
      </c>
      <c r="BB12" s="2">
        <v>93710</v>
      </c>
      <c r="BC12" s="2">
        <v>339050</v>
      </c>
      <c r="BD12" s="2">
        <v>-794990</v>
      </c>
      <c r="BE12" s="2">
        <v>-6114320</v>
      </c>
      <c r="BF12" s="2">
        <v>-384730</v>
      </c>
      <c r="BG12" s="2">
        <v>3040800</v>
      </c>
      <c r="BH12" s="2">
        <v>777970</v>
      </c>
      <c r="BI12" s="2">
        <v>-898550</v>
      </c>
      <c r="BJ12" s="2">
        <v>-3941060</v>
      </c>
      <c r="BK12" s="2">
        <v>1713830</v>
      </c>
      <c r="BL12" s="2">
        <v>780640</v>
      </c>
      <c r="BM12" s="2">
        <v>-82150</v>
      </c>
      <c r="BN12" s="2">
        <v>-19838040</v>
      </c>
      <c r="BO12" s="2" t="s">
        <v>31</v>
      </c>
      <c r="BP12" s="2">
        <v>1152</v>
      </c>
      <c r="BQ12" s="9">
        <f>-df_gold[[#This Row],[Despesa_Captacao_Total]]</f>
        <v>19838040</v>
      </c>
      <c r="BR12" s="9">
        <f t="shared" si="0"/>
        <v>326258490</v>
      </c>
      <c r="BS12" s="6">
        <f>df_gold[[#This Row],[Despesa_Captacao]]/df_gold[[#This Row],[Captações]]</f>
        <v>6.0804670554320289E-2</v>
      </c>
      <c r="BT12" s="6">
        <f t="shared" si="1"/>
        <v>0.26631482937951767</v>
      </c>
      <c r="BU12" s="10">
        <f t="shared" si="2"/>
        <v>45261</v>
      </c>
      <c r="BV12" s="4">
        <f>df_gold[[#This Row],[Despesa_Captacao]]/BQ11</f>
        <v>3.0460967261973311</v>
      </c>
    </row>
    <row r="13" spans="1:74" x14ac:dyDescent="0.25">
      <c r="A13">
        <v>167005</v>
      </c>
      <c r="B13" t="s">
        <v>33</v>
      </c>
      <c r="C13" s="1">
        <v>45352</v>
      </c>
      <c r="D13">
        <v>33923798</v>
      </c>
      <c r="E13" t="s">
        <v>34</v>
      </c>
      <c r="F13" t="s">
        <v>30</v>
      </c>
      <c r="G13">
        <v>2</v>
      </c>
      <c r="H13">
        <v>2</v>
      </c>
      <c r="I13" t="s">
        <v>31</v>
      </c>
      <c r="J13" t="s">
        <v>32</v>
      </c>
      <c r="K13" s="2">
        <v>410441310</v>
      </c>
      <c r="L13" s="2">
        <v>370420010</v>
      </c>
      <c r="M13" s="2">
        <v>24416250</v>
      </c>
      <c r="N13" s="2">
        <v>594850</v>
      </c>
      <c r="O13" s="2">
        <v>3</v>
      </c>
      <c r="P13" s="2">
        <v>3</v>
      </c>
      <c r="Q13" s="2">
        <v>174322140</v>
      </c>
      <c r="R13" s="2">
        <v>386025050</v>
      </c>
      <c r="S13" s="2" t="s">
        <v>73</v>
      </c>
      <c r="T13" s="2">
        <v>11866280</v>
      </c>
      <c r="U13" s="2">
        <v>0</v>
      </c>
      <c r="V13" s="2">
        <v>5021870</v>
      </c>
      <c r="W13" s="2">
        <v>-1248270</v>
      </c>
      <c r="X13" s="2">
        <v>392880</v>
      </c>
      <c r="Y13" s="2">
        <v>455990</v>
      </c>
      <c r="Z13" s="2">
        <v>16488750</v>
      </c>
      <c r="AA13" s="2">
        <v>0</v>
      </c>
      <c r="AB13" s="2">
        <v>0</v>
      </c>
      <c r="AC13" s="2">
        <v>0</v>
      </c>
      <c r="AD13" s="2">
        <v>-963230</v>
      </c>
      <c r="AE13" s="2">
        <v>-11937810</v>
      </c>
      <c r="AF13" s="2">
        <v>4550940</v>
      </c>
      <c r="AG13" s="2">
        <v>126080</v>
      </c>
      <c r="AH13" s="2">
        <v>11040</v>
      </c>
      <c r="AI13" s="2">
        <v>-464390</v>
      </c>
      <c r="AJ13" s="2">
        <v>-2689470</v>
      </c>
      <c r="AK13" s="2">
        <v>-299000</v>
      </c>
      <c r="AL13" s="2">
        <v>5450</v>
      </c>
      <c r="AM13" s="2">
        <v>365940</v>
      </c>
      <c r="AN13" s="2">
        <v>-265280</v>
      </c>
      <c r="AO13" s="2">
        <v>-3209620</v>
      </c>
      <c r="AP13" s="2">
        <v>1341320</v>
      </c>
      <c r="AQ13" s="2">
        <v>780</v>
      </c>
      <c r="AR13" s="2">
        <v>1342100</v>
      </c>
      <c r="AS13" s="2">
        <v>-508880</v>
      </c>
      <c r="AT13" s="2">
        <v>-238360</v>
      </c>
      <c r="AU13" s="2">
        <v>594850</v>
      </c>
      <c r="AV13" s="2">
        <v>5021870</v>
      </c>
      <c r="AW13" s="2">
        <v>11866280</v>
      </c>
      <c r="AX13" s="2">
        <v>-963230</v>
      </c>
      <c r="AY13" s="2">
        <v>-10974580</v>
      </c>
      <c r="AZ13" s="2">
        <v>-1248270</v>
      </c>
      <c r="BA13" s="2">
        <v>4550940</v>
      </c>
      <c r="BB13" s="2">
        <v>11040</v>
      </c>
      <c r="BC13" s="2">
        <v>126080</v>
      </c>
      <c r="BD13" s="2">
        <v>-464390</v>
      </c>
      <c r="BE13" s="2">
        <v>-2689470</v>
      </c>
      <c r="BF13" s="2">
        <v>-299000</v>
      </c>
      <c r="BG13" s="2">
        <v>5450</v>
      </c>
      <c r="BH13" s="2">
        <v>365940</v>
      </c>
      <c r="BI13" s="2">
        <v>-265280</v>
      </c>
      <c r="BJ13" s="2">
        <v>-3209620</v>
      </c>
      <c r="BK13" s="2">
        <v>1342100</v>
      </c>
      <c r="BL13" s="2">
        <v>-508880</v>
      </c>
      <c r="BM13" s="2">
        <v>-238360</v>
      </c>
      <c r="BN13" s="2">
        <v>-10974580</v>
      </c>
      <c r="BO13" s="2" t="s">
        <v>31</v>
      </c>
      <c r="BP13" s="2">
        <v>1052</v>
      </c>
      <c r="BQ13" s="9">
        <f>-df_gold[[#This Row],[Despesa_Captacao_Total]]</f>
        <v>10974580</v>
      </c>
      <c r="BR13" s="9">
        <f t="shared" si="0"/>
        <v>370420010</v>
      </c>
      <c r="BS13" s="6">
        <f>df_gold[[#This Row],[Despesa_Captacao]]/df_gold[[#This Row],[Captações]]</f>
        <v>2.962739512911303E-2</v>
      </c>
      <c r="BT13" s="6">
        <f t="shared" si="1"/>
        <v>0.12388107191231645</v>
      </c>
      <c r="BU13" s="10">
        <f t="shared" si="2"/>
        <v>45352</v>
      </c>
      <c r="BV13" s="4">
        <f>df_gold[[#This Row],[Despesa_Captacao]]/BQ12</f>
        <v>0.55320888555522618</v>
      </c>
    </row>
    <row r="14" spans="1:74" x14ac:dyDescent="0.25">
      <c r="A14">
        <v>168564</v>
      </c>
      <c r="B14" t="s">
        <v>33</v>
      </c>
      <c r="C14" s="1">
        <v>45444</v>
      </c>
      <c r="D14">
        <v>33923798</v>
      </c>
      <c r="E14" t="s">
        <v>34</v>
      </c>
      <c r="F14" t="s">
        <v>30</v>
      </c>
      <c r="G14">
        <v>2</v>
      </c>
      <c r="H14">
        <v>2</v>
      </c>
      <c r="I14" t="s">
        <v>31</v>
      </c>
      <c r="J14" t="s">
        <v>32</v>
      </c>
      <c r="K14" s="2">
        <v>509857930</v>
      </c>
      <c r="L14" s="2">
        <v>446184710</v>
      </c>
      <c r="M14" s="2">
        <v>41879410</v>
      </c>
      <c r="N14" s="2">
        <v>5007520</v>
      </c>
      <c r="O14" s="2">
        <v>3</v>
      </c>
      <c r="P14" s="2">
        <v>3</v>
      </c>
      <c r="Q14" s="2">
        <v>210455060</v>
      </c>
      <c r="R14" s="2">
        <v>467978520</v>
      </c>
      <c r="S14" s="2" t="s">
        <v>73</v>
      </c>
      <c r="T14" s="2">
        <v>24073410</v>
      </c>
      <c r="U14" s="2">
        <v>0</v>
      </c>
      <c r="V14" s="2">
        <v>12273740</v>
      </c>
      <c r="W14" s="2">
        <v>-6557940</v>
      </c>
      <c r="X14" s="2">
        <v>822990</v>
      </c>
      <c r="Y14" s="2">
        <v>945350</v>
      </c>
      <c r="Z14" s="2">
        <v>31557550</v>
      </c>
      <c r="AA14" s="2">
        <v>0</v>
      </c>
      <c r="AB14" s="2">
        <v>0</v>
      </c>
      <c r="AC14" s="2">
        <v>0</v>
      </c>
      <c r="AD14" s="2">
        <v>-4329930</v>
      </c>
      <c r="AE14" s="2">
        <v>-25420710</v>
      </c>
      <c r="AF14" s="2">
        <v>6136840</v>
      </c>
      <c r="AG14" s="2">
        <v>387630</v>
      </c>
      <c r="AH14" s="2">
        <v>15660</v>
      </c>
      <c r="AI14" s="2">
        <v>-886070</v>
      </c>
      <c r="AJ14" s="2">
        <v>-8409210</v>
      </c>
      <c r="AK14" s="2">
        <v>-601110</v>
      </c>
      <c r="AL14" s="2">
        <v>2866530</v>
      </c>
      <c r="AM14" s="2">
        <v>652740</v>
      </c>
      <c r="AN14" s="2">
        <v>-1061190</v>
      </c>
      <c r="AO14" s="2">
        <v>-7035000</v>
      </c>
      <c r="AP14" s="2">
        <v>-898160</v>
      </c>
      <c r="AQ14" s="2">
        <v>4360760</v>
      </c>
      <c r="AR14" s="2">
        <v>3462600</v>
      </c>
      <c r="AS14" s="2">
        <v>1783280</v>
      </c>
      <c r="AT14" s="2">
        <v>-238360</v>
      </c>
      <c r="AU14" s="2">
        <v>5007520</v>
      </c>
      <c r="AV14" s="2">
        <v>12273740</v>
      </c>
      <c r="AW14" s="2">
        <v>24073410</v>
      </c>
      <c r="AX14" s="2">
        <v>-4329930</v>
      </c>
      <c r="AY14" s="2">
        <v>-21090780</v>
      </c>
      <c r="AZ14" s="2">
        <v>-6557940</v>
      </c>
      <c r="BA14" s="2">
        <v>6136840</v>
      </c>
      <c r="BB14" s="2">
        <v>15660</v>
      </c>
      <c r="BC14" s="2">
        <v>387630</v>
      </c>
      <c r="BD14" s="2">
        <v>-886070</v>
      </c>
      <c r="BE14" s="2">
        <v>-8409210</v>
      </c>
      <c r="BF14" s="2">
        <v>-601110</v>
      </c>
      <c r="BG14" s="2">
        <v>2866530</v>
      </c>
      <c r="BH14" s="2">
        <v>652740</v>
      </c>
      <c r="BI14" s="2">
        <v>-1061190</v>
      </c>
      <c r="BJ14" s="2">
        <v>-7035000</v>
      </c>
      <c r="BK14" s="2">
        <v>3462600</v>
      </c>
      <c r="BL14" s="2">
        <v>1783280</v>
      </c>
      <c r="BM14" s="2">
        <v>-238360</v>
      </c>
      <c r="BN14" s="2">
        <v>-21090780</v>
      </c>
      <c r="BO14" s="2" t="s">
        <v>31</v>
      </c>
      <c r="BP14" s="2">
        <v>1171</v>
      </c>
      <c r="BQ14" s="9">
        <f>-df_gold[[#This Row],[Despesa_Captacao_Total]]</f>
        <v>21090780</v>
      </c>
      <c r="BR14" s="9">
        <f t="shared" si="0"/>
        <v>446184710</v>
      </c>
      <c r="BS14" s="6">
        <f>df_gold[[#This Row],[Despesa_Captacao]]/df_gold[[#This Row],[Captações]]</f>
        <v>4.7269167964092716E-2</v>
      </c>
      <c r="BT14" s="6">
        <f t="shared" si="1"/>
        <v>0.202910377769705</v>
      </c>
      <c r="BU14" s="10">
        <f t="shared" si="2"/>
        <v>45444</v>
      </c>
      <c r="BV14" s="4">
        <f>df_gold[[#This Row],[Despesa_Captacao]]/BQ13</f>
        <v>1.9217847061117601</v>
      </c>
    </row>
    <row r="15" spans="1:74" x14ac:dyDescent="0.25">
      <c r="A15">
        <v>170125</v>
      </c>
      <c r="B15" t="s">
        <v>33</v>
      </c>
      <c r="C15" s="1">
        <v>45536</v>
      </c>
      <c r="D15">
        <v>33923798</v>
      </c>
      <c r="E15" t="s">
        <v>34</v>
      </c>
      <c r="F15" t="s">
        <v>30</v>
      </c>
      <c r="G15">
        <v>2</v>
      </c>
      <c r="H15">
        <v>2</v>
      </c>
      <c r="I15" t="s">
        <v>31</v>
      </c>
      <c r="J15" t="s">
        <v>32</v>
      </c>
      <c r="K15" s="2">
        <v>583353680</v>
      </c>
      <c r="L15" s="2">
        <v>509323990</v>
      </c>
      <c r="M15" s="2">
        <v>44124770</v>
      </c>
      <c r="N15" s="2">
        <v>2366500</v>
      </c>
      <c r="O15" s="2">
        <v>3</v>
      </c>
      <c r="P15" s="2">
        <v>3</v>
      </c>
      <c r="Q15" s="2">
        <v>221739930</v>
      </c>
      <c r="R15" s="2">
        <v>539228910</v>
      </c>
      <c r="S15" s="2" t="s">
        <v>73</v>
      </c>
      <c r="T15" s="2">
        <v>15018810</v>
      </c>
      <c r="U15" s="2">
        <v>0</v>
      </c>
      <c r="V15" s="2">
        <v>3437970</v>
      </c>
      <c r="W15" s="2">
        <v>-1165120</v>
      </c>
      <c r="X15" s="2">
        <v>549480</v>
      </c>
      <c r="Y15" s="2">
        <v>554500</v>
      </c>
      <c r="Z15" s="2">
        <v>18395640</v>
      </c>
      <c r="AA15" s="2">
        <v>0</v>
      </c>
      <c r="AB15" s="2">
        <v>0</v>
      </c>
      <c r="AC15" s="2">
        <v>0</v>
      </c>
      <c r="AD15" s="2">
        <v>-786460</v>
      </c>
      <c r="AE15" s="2">
        <v>-15598320</v>
      </c>
      <c r="AF15" s="2">
        <v>2797310</v>
      </c>
      <c r="AG15" s="2">
        <v>222840</v>
      </c>
      <c r="AH15" s="2">
        <v>3330</v>
      </c>
      <c r="AI15" s="2">
        <v>-465000</v>
      </c>
      <c r="AJ15" s="2">
        <v>-4088640</v>
      </c>
      <c r="AK15" s="2">
        <v>-175040</v>
      </c>
      <c r="AL15" s="2">
        <v>3773510</v>
      </c>
      <c r="AM15" s="2">
        <v>36010</v>
      </c>
      <c r="AN15" s="2">
        <v>-717630</v>
      </c>
      <c r="AO15" s="2">
        <v>-1410630</v>
      </c>
      <c r="AP15" s="2">
        <v>1386680</v>
      </c>
      <c r="AQ15" s="2">
        <v>20700</v>
      </c>
      <c r="AR15" s="2">
        <v>1407380</v>
      </c>
      <c r="AS15" s="2">
        <v>1072220</v>
      </c>
      <c r="AT15" s="2">
        <v>-113090</v>
      </c>
      <c r="AU15" s="2">
        <v>2366500</v>
      </c>
      <c r="AV15" s="2">
        <v>3437970</v>
      </c>
      <c r="AW15" s="2">
        <v>15018810</v>
      </c>
      <c r="AX15" s="2">
        <v>-786460</v>
      </c>
      <c r="AY15" s="2">
        <v>-14811860</v>
      </c>
      <c r="AZ15" s="2">
        <v>-1165120</v>
      </c>
      <c r="BA15" s="2">
        <v>2797310</v>
      </c>
      <c r="BB15" s="2">
        <v>3330</v>
      </c>
      <c r="BC15" s="2">
        <v>222840</v>
      </c>
      <c r="BD15" s="2">
        <v>-465000</v>
      </c>
      <c r="BE15" s="2">
        <v>-4088640</v>
      </c>
      <c r="BF15" s="2">
        <v>-175040</v>
      </c>
      <c r="BG15" s="2">
        <v>3773510</v>
      </c>
      <c r="BH15" s="2">
        <v>36010</v>
      </c>
      <c r="BI15" s="2">
        <v>-717630</v>
      </c>
      <c r="BJ15" s="2">
        <v>-1410630</v>
      </c>
      <c r="BK15" s="2">
        <v>1407380</v>
      </c>
      <c r="BL15" s="2">
        <v>1072220</v>
      </c>
      <c r="BM15" s="2">
        <v>-113090</v>
      </c>
      <c r="BN15" s="2">
        <v>-14811860</v>
      </c>
      <c r="BO15" s="2" t="s">
        <v>31</v>
      </c>
      <c r="BP15" s="2">
        <v>1053</v>
      </c>
      <c r="BQ15" s="9">
        <f>-df_gold[[#This Row],[Despesa_Captacao_Total]]</f>
        <v>14811860</v>
      </c>
      <c r="BR15" s="9">
        <f t="shared" si="0"/>
        <v>509323990</v>
      </c>
      <c r="BS15" s="6">
        <f>df_gold[[#This Row],[Despesa_Captacao]]/df_gold[[#This Row],[Captações]]</f>
        <v>2.9081410439747792E-2</v>
      </c>
      <c r="BT15" s="6">
        <f t="shared" si="1"/>
        <v>0.12149910751730642</v>
      </c>
      <c r="BU15" s="10">
        <f t="shared" si="2"/>
        <v>45536</v>
      </c>
      <c r="BV15" s="4">
        <f>df_gold[[#This Row],[Despesa_Captacao]]/BQ14</f>
        <v>0.70229076402105561</v>
      </c>
    </row>
    <row r="16" spans="1:74" x14ac:dyDescent="0.25">
      <c r="A16">
        <v>171710</v>
      </c>
      <c r="B16" t="s">
        <v>33</v>
      </c>
      <c r="C16" s="1">
        <v>45627</v>
      </c>
      <c r="D16">
        <v>33923798</v>
      </c>
      <c r="E16" t="s">
        <v>34</v>
      </c>
      <c r="F16" t="s">
        <v>30</v>
      </c>
      <c r="G16">
        <v>2</v>
      </c>
      <c r="H16">
        <v>2</v>
      </c>
      <c r="I16" t="s">
        <v>31</v>
      </c>
      <c r="J16" t="s">
        <v>32</v>
      </c>
      <c r="K16" s="2">
        <v>630146920</v>
      </c>
      <c r="L16" s="2">
        <v>539182120</v>
      </c>
      <c r="M16" s="2">
        <v>47407120</v>
      </c>
      <c r="N16" s="2">
        <v>5667600</v>
      </c>
      <c r="O16" s="2">
        <v>3</v>
      </c>
      <c r="P16" s="2">
        <v>3</v>
      </c>
      <c r="Q16" s="2">
        <v>224636560</v>
      </c>
      <c r="R16" s="2">
        <v>582739790</v>
      </c>
      <c r="S16" s="2" t="s">
        <v>73</v>
      </c>
      <c r="T16" s="2">
        <v>38503110</v>
      </c>
      <c r="U16" s="2">
        <v>0</v>
      </c>
      <c r="V16" s="2">
        <v>12315170</v>
      </c>
      <c r="W16" s="2">
        <v>-9826200</v>
      </c>
      <c r="X16" s="2">
        <v>999590</v>
      </c>
      <c r="Y16" s="2">
        <v>1199330</v>
      </c>
      <c r="Z16" s="2">
        <v>43191000</v>
      </c>
      <c r="AA16" s="2">
        <v>0</v>
      </c>
      <c r="AB16" s="2">
        <v>0</v>
      </c>
      <c r="AC16" s="2">
        <v>0</v>
      </c>
      <c r="AD16" s="2">
        <v>1715380</v>
      </c>
      <c r="AE16" s="2">
        <v>-24316520</v>
      </c>
      <c r="AF16" s="2">
        <v>18874480</v>
      </c>
      <c r="AG16" s="2">
        <v>540030</v>
      </c>
      <c r="AH16" s="2">
        <v>6590</v>
      </c>
      <c r="AI16" s="2">
        <v>-1018690</v>
      </c>
      <c r="AJ16" s="2">
        <v>-10351860</v>
      </c>
      <c r="AK16" s="2">
        <v>-1588200</v>
      </c>
      <c r="AL16" s="2">
        <v>1877340</v>
      </c>
      <c r="AM16" s="2">
        <v>1297020</v>
      </c>
      <c r="AN16" s="2">
        <v>-1629920</v>
      </c>
      <c r="AO16" s="2">
        <v>-10867680</v>
      </c>
      <c r="AP16" s="2">
        <v>8006800</v>
      </c>
      <c r="AQ16" s="2">
        <v>22620</v>
      </c>
      <c r="AR16" s="2">
        <v>8029420</v>
      </c>
      <c r="AS16" s="2">
        <v>-2248730</v>
      </c>
      <c r="AT16" s="2">
        <v>-113090</v>
      </c>
      <c r="AU16" s="2">
        <v>5667600</v>
      </c>
      <c r="AV16" s="2">
        <v>12315170</v>
      </c>
      <c r="AW16" s="2">
        <v>38503110</v>
      </c>
      <c r="AX16" s="2">
        <v>1715380</v>
      </c>
      <c r="AY16" s="2">
        <v>-26031900</v>
      </c>
      <c r="AZ16" s="2">
        <v>-9826200</v>
      </c>
      <c r="BA16" s="2">
        <v>18874480</v>
      </c>
      <c r="BB16" s="2">
        <v>6590</v>
      </c>
      <c r="BC16" s="2">
        <v>540030</v>
      </c>
      <c r="BD16" s="2">
        <v>-1018690</v>
      </c>
      <c r="BE16" s="2">
        <v>-10351860</v>
      </c>
      <c r="BF16" s="2">
        <v>-1588200</v>
      </c>
      <c r="BG16" s="2">
        <v>1877340</v>
      </c>
      <c r="BH16" s="2">
        <v>1297020</v>
      </c>
      <c r="BI16" s="2">
        <v>-1629920</v>
      </c>
      <c r="BJ16" s="2">
        <v>-10867680</v>
      </c>
      <c r="BK16" s="2">
        <v>8029420</v>
      </c>
      <c r="BL16" s="2">
        <v>-2248730</v>
      </c>
      <c r="BM16" s="2">
        <v>-113090</v>
      </c>
      <c r="BN16" s="2">
        <v>-26031900</v>
      </c>
      <c r="BO16" s="2" t="s">
        <v>31</v>
      </c>
      <c r="BP16" s="2">
        <v>1152</v>
      </c>
      <c r="BQ16" s="9">
        <f>-df_gold[[#This Row],[Despesa_Captacao_Total]]</f>
        <v>26031900</v>
      </c>
      <c r="BR16" s="9">
        <f t="shared" si="0"/>
        <v>539182120</v>
      </c>
      <c r="BS16" s="6">
        <f>df_gold[[#This Row],[Despesa_Captacao]]/df_gold[[#This Row],[Captações]]</f>
        <v>4.8280347278578155E-2</v>
      </c>
      <c r="BT16" s="6">
        <f t="shared" si="1"/>
        <v>0.20756293863792763</v>
      </c>
      <c r="BU16" s="10">
        <f t="shared" si="2"/>
        <v>45627</v>
      </c>
      <c r="BV16" s="4">
        <f>df_gold[[#This Row],[Despesa_Captacao]]/BQ15</f>
        <v>1.7575037841297447</v>
      </c>
    </row>
    <row r="17" spans="1:74" x14ac:dyDescent="0.25">
      <c r="A17">
        <v>173297</v>
      </c>
      <c r="B17" t="s">
        <v>33</v>
      </c>
      <c r="C17" s="1">
        <v>45717</v>
      </c>
      <c r="D17">
        <v>33923798</v>
      </c>
      <c r="E17" t="s">
        <v>34</v>
      </c>
      <c r="F17" t="s">
        <v>30</v>
      </c>
      <c r="G17">
        <v>2</v>
      </c>
      <c r="H17">
        <v>2</v>
      </c>
      <c r="I17" t="s">
        <v>31</v>
      </c>
      <c r="J17" t="s">
        <v>32</v>
      </c>
      <c r="K17" s="2">
        <v>683441700</v>
      </c>
      <c r="L17" s="2">
        <v>545218130</v>
      </c>
      <c r="M17" s="2">
        <v>32688600</v>
      </c>
      <c r="N17" s="2">
        <v>577130</v>
      </c>
      <c r="O17" s="2">
        <v>3</v>
      </c>
      <c r="P17" s="2">
        <v>3</v>
      </c>
      <c r="Q17" s="2">
        <v>136681970</v>
      </c>
      <c r="R17" s="2">
        <v>650753100</v>
      </c>
      <c r="S17" s="2" t="s">
        <v>73</v>
      </c>
      <c r="U17" s="2">
        <v>0</v>
      </c>
      <c r="AV17" s="2">
        <v>11363900</v>
      </c>
      <c r="AW17" s="2">
        <v>17902920</v>
      </c>
      <c r="AX17" s="2">
        <v>-11483600</v>
      </c>
      <c r="AY17" s="2">
        <v>-17565260</v>
      </c>
      <c r="AZ17" s="2">
        <v>3129370</v>
      </c>
      <c r="BA17" s="2">
        <v>6920230</v>
      </c>
      <c r="BB17" s="2">
        <v>3960</v>
      </c>
      <c r="BC17" s="2">
        <v>326050</v>
      </c>
      <c r="BD17" s="2">
        <v>-585570</v>
      </c>
      <c r="BE17" s="2">
        <v>-3618730</v>
      </c>
      <c r="BF17" s="2">
        <v>-141710</v>
      </c>
      <c r="BG17" s="2">
        <v>-1203820</v>
      </c>
      <c r="BH17" s="2">
        <v>1036090</v>
      </c>
      <c r="BI17" s="2">
        <v>-367840</v>
      </c>
      <c r="BJ17" s="2">
        <v>-4551560</v>
      </c>
      <c r="BK17" s="2">
        <v>2362070</v>
      </c>
      <c r="BL17" s="2">
        <v>-1395060</v>
      </c>
      <c r="BM17" s="2">
        <v>-389880</v>
      </c>
      <c r="BN17" s="2">
        <v>-17689460</v>
      </c>
      <c r="BO17" s="2" t="s">
        <v>31</v>
      </c>
      <c r="BP17" s="2">
        <v>1053</v>
      </c>
      <c r="BQ17" s="9">
        <f>-df_gold[[#This Row],[Despesa_Captacao_Total]]</f>
        <v>17689460</v>
      </c>
      <c r="BR17" s="9">
        <f t="shared" si="0"/>
        <v>545218130</v>
      </c>
      <c r="BS17" s="6">
        <f>df_gold[[#This Row],[Despesa_Captacao]]/df_gold[[#This Row],[Captações]]</f>
        <v>3.2444739135875762E-2</v>
      </c>
      <c r="BT17" s="6">
        <f t="shared" si="1"/>
        <v>0.1362326444832993</v>
      </c>
      <c r="BU17" s="10">
        <f t="shared" si="2"/>
        <v>45717</v>
      </c>
      <c r="BV17" s="4">
        <f>df_gold[[#This Row],[Despesa_Captacao]]/BQ16</f>
        <v>0.67953011497431992</v>
      </c>
    </row>
    <row r="18" spans="1:74" x14ac:dyDescent="0.25">
      <c r="A18">
        <v>176452</v>
      </c>
      <c r="B18" t="s">
        <v>33</v>
      </c>
      <c r="C18" s="1">
        <v>45809</v>
      </c>
      <c r="D18">
        <v>33923798</v>
      </c>
      <c r="E18" t="s">
        <v>34</v>
      </c>
      <c r="F18" t="s">
        <v>30</v>
      </c>
      <c r="G18">
        <v>2</v>
      </c>
      <c r="H18">
        <v>2</v>
      </c>
      <c r="I18" t="s">
        <v>31</v>
      </c>
      <c r="J18" t="s">
        <v>32</v>
      </c>
      <c r="O18" s="2">
        <v>3</v>
      </c>
      <c r="P18" s="2">
        <v>3</v>
      </c>
      <c r="S18" s="2" t="s">
        <v>73</v>
      </c>
      <c r="BO18" s="2" t="s">
        <v>31</v>
      </c>
      <c r="BQ18" s="9">
        <f>-df_gold[[#This Row],[Despesa_Captacao_Total]]</f>
        <v>0</v>
      </c>
      <c r="BR18" s="9">
        <f t="shared" si="0"/>
        <v>0</v>
      </c>
      <c r="BS18" s="11" t="e">
        <f>df_gold[[#This Row],[Despesa_Captacao]]/df_gold[[#This Row],[Captações]]</f>
        <v>#DIV/0!</v>
      </c>
      <c r="BT18" s="6" t="e">
        <f t="shared" si="1"/>
        <v>#DIV/0!</v>
      </c>
      <c r="BU18" s="10">
        <f t="shared" si="2"/>
        <v>45809</v>
      </c>
      <c r="BV18" s="4">
        <f>df_gold[[#This Row],[Despesa_Captacao]]/BQ17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FD916FF-2EE9-4D61-8E56-1D5C82AC6C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df_gold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Prochnow Borges</dc:creator>
  <cp:lastModifiedBy>Thiago Prochnow Borges</cp:lastModifiedBy>
  <dcterms:created xsi:type="dcterms:W3CDTF">2015-06-05T18:17:20Z</dcterms:created>
  <dcterms:modified xsi:type="dcterms:W3CDTF">2025-12-13T00:48:36Z</dcterms:modified>
</cp:coreProperties>
</file>